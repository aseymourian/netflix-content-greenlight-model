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arianaseymourian/Desktop/Netflix Finance Project/"/>
    </mc:Choice>
  </mc:AlternateContent>
  <xr:revisionPtr revIDLastSave="0" documentId="13_ncr:1_{690890B4-F6C8-CE4A-861E-62682A4E4956}" xr6:coauthVersionLast="47" xr6:coauthVersionMax="47" xr10:uidLastSave="{00000000-0000-0000-0000-000000000000}"/>
  <bookViews>
    <workbookView xWindow="17320" yWindow="780" windowWidth="16880" windowHeight="19480" xr2:uid="{56C2B09E-58AA-C746-AFE5-489213CE6E67}"/>
  </bookViews>
  <sheets>
    <sheet name="Assumptions" sheetId="1" r:id="rId1"/>
    <sheet name="Metrics" sheetId="8" r:id="rId2"/>
    <sheet name="nflx_5yr_monthly" sheetId="10" r:id="rId3"/>
    <sheet name="SP500_fred_5yr" sheetId="9" r:id="rId4"/>
    <sheet name="Red Notice" sheetId="2" r:id="rId5"/>
    <sheet name="Extraction" sheetId="3" r:id="rId6"/>
    <sheet name="Mario" sheetId="4" r:id="rId7"/>
    <sheet name="Sensitivity" sheetId="5" r:id="rId8"/>
    <sheet name="Go or No Go Summary" sheetId="6" r:id="rId9"/>
    <sheet name="README" sheetId="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 l="1"/>
  <c r="C11" i="4"/>
  <c r="C5" i="3"/>
  <c r="C7" i="3"/>
  <c r="C9" i="3"/>
  <c r="C12" i="3"/>
  <c r="C13" i="3"/>
  <c r="C10" i="2"/>
  <c r="C7" i="2"/>
  <c r="C5" i="2"/>
  <c r="C13" i="2"/>
  <c r="B49" i="8"/>
  <c r="B48" i="8"/>
  <c r="B50" i="8" s="1"/>
  <c r="B45" i="8"/>
  <c r="B44" i="8"/>
  <c r="B42" i="8"/>
  <c r="B37" i="8"/>
  <c r="B38" i="8" s="1"/>
  <c r="B15" i="8"/>
  <c r="B3" i="8"/>
  <c r="B5" i="8"/>
  <c r="B4" i="8"/>
  <c r="B2" i="8"/>
  <c r="B10" i="8" s="1"/>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C3" i="9"/>
  <c r="G3" i="10"/>
</calcChain>
</file>

<file path=xl/sharedStrings.xml><?xml version="1.0" encoding="utf-8"?>
<sst xmlns="http://schemas.openxmlformats.org/spreadsheetml/2006/main" count="602" uniqueCount="309">
  <si>
    <t>value</t>
  </si>
  <si>
    <t>unit</t>
  </si>
  <si>
    <t>source</t>
  </si>
  <si>
    <t>confidence</t>
  </si>
  <si>
    <t>notes</t>
  </si>
  <si>
    <t>line_item</t>
  </si>
  <si>
    <t>title</t>
  </si>
  <si>
    <t>decision_type</t>
  </si>
  <si>
    <t>investment_cost</t>
  </si>
  <si>
    <t>npv</t>
  </si>
  <si>
    <t>payback_period</t>
  </si>
  <si>
    <t>recommendation</t>
  </si>
  <si>
    <t>key_risk_factor</t>
  </si>
  <si>
    <t>$</t>
  </si>
  <si>
    <t>the-numbers</t>
  </si>
  <si>
    <t>High</t>
  </si>
  <si>
    <t>Low</t>
  </si>
  <si>
    <t>production budget</t>
  </si>
  <si>
    <t>licensing cost</t>
  </si>
  <si>
    <t>marketing spend</t>
  </si>
  <si>
    <t>total investment</t>
  </si>
  <si>
    <t>total hours viewed</t>
  </si>
  <si>
    <t>licensing revenue</t>
  </si>
  <si>
    <t>total projected</t>
  </si>
  <si>
    <t>actual revenue</t>
  </si>
  <si>
    <t>net cash flow</t>
  </si>
  <si>
    <t>present value of cash flow</t>
  </si>
  <si>
    <t>payback period</t>
  </si>
  <si>
    <t>source/formula</t>
  </si>
  <si>
    <t>metric</t>
  </si>
  <si>
    <t>Red Notice</t>
  </si>
  <si>
    <t>Extraction</t>
  </si>
  <si>
    <t>Mario</t>
  </si>
  <si>
    <t>Production Budget</t>
  </si>
  <si>
    <t>financed by Illumination/ Universal not Netflix</t>
  </si>
  <si>
    <t>Total Hours Viewed</t>
  </si>
  <si>
    <t>The Super Mario Bros Movie</t>
  </si>
  <si>
    <t>World Wide Box Office</t>
  </si>
  <si>
    <t>Netflix</t>
  </si>
  <si>
    <t>discount rate</t>
  </si>
  <si>
    <t>N/A</t>
  </si>
  <si>
    <t>Netflix produced original, no licensing cost applies to this decision type</t>
  </si>
  <si>
    <t>rationale</t>
  </si>
  <si>
    <t>Data sourcing</t>
  </si>
  <si>
    <t>Confidence tier definitions</t>
  </si>
  <si>
    <t>primary source (filling, official report, audited box office)</t>
  </si>
  <si>
    <t>Medium</t>
  </si>
  <si>
    <t>reputable trade press with attributed sourcing</t>
  </si>
  <si>
    <t>single non-corroborated source, wide estimate range or derived modeled figure</t>
  </si>
  <si>
    <t>IMDB, Wikipedia, Moviefone</t>
  </si>
  <si>
    <t>estimate ranges from $150M (The Numbers) to $300M (director's own account Screenrant reporting)</t>
  </si>
  <si>
    <t>hours</t>
  </si>
  <si>
    <t>WACC</t>
  </si>
  <si>
    <t>Market Value of Equity</t>
  </si>
  <si>
    <t>Market Value of Debt</t>
  </si>
  <si>
    <t>Cost of Equity</t>
  </si>
  <si>
    <t>Corporate Tax Rate</t>
  </si>
  <si>
    <t>Individual title production budgets are not disclosed in SEC filings for any studio; trade press estimates are the standard and only available source for this category, and are corroborated across multiple outlets per title.</t>
  </si>
  <si>
    <t>Beta</t>
  </si>
  <si>
    <t>Value</t>
  </si>
  <si>
    <t>R^2</t>
  </si>
  <si>
    <t>Alpha</t>
  </si>
  <si>
    <t>Correlation</t>
  </si>
  <si>
    <t>observation_date</t>
  </si>
  <si>
    <t>SP500</t>
  </si>
  <si>
    <t>monthly_return</t>
  </si>
  <si>
    <t>Date</t>
  </si>
  <si>
    <t>Open</t>
  </si>
  <si>
    <t>Close</t>
  </si>
  <si>
    <t>Volume</t>
  </si>
  <si>
    <t>Risk Free Rate</t>
  </si>
  <si>
    <t>Source</t>
  </si>
  <si>
    <t>FRED</t>
  </si>
  <si>
    <t>Calculated from monthly returns from S&amp;P 500 and Netflix 5YR historical data</t>
  </si>
  <si>
    <t>Equity Risk Premium</t>
  </si>
  <si>
    <t>Sources</t>
  </si>
  <si>
    <t>The Numbers</t>
  </si>
  <si>
    <t>https://www.the-numbers.com/</t>
  </si>
  <si>
    <t>Netflix Q4 2025 Earnings Letter</t>
  </si>
  <si>
    <t>https://ir.netflix.net/investor-news-and-events/investor-events/event-details/2026/Netflix-Fourth-Quarter-2025-Earnings-Interview-2026-ILhOSSH43f/default.aspx</t>
  </si>
  <si>
    <t>https://s22.q4cdn.com/959853165/files/doc_financials/2025/q4/FINAL-Q4-25-Shareholder-Letter.pdf</t>
  </si>
  <si>
    <t>Netflix Investor 10-Q &amp; 10-K filings</t>
  </si>
  <si>
    <t>https://ir.netflix.net/financials/sec-filings/default.aspx</t>
  </si>
  <si>
    <t>10-Q Filing</t>
  </si>
  <si>
    <t>https://d18rn0p25nwr6d.cloudfront.net/CIK-0001065280/65ef36cc-6598-4deb-a42b-8c59a8e31fd3.pdf</t>
  </si>
  <si>
    <t>10-K Filing</t>
  </si>
  <si>
    <t>https://d18rn0p25nwr6d.cloudfront.net/CIK-0001065280/99482238-46b2-4d0d-b292-40e6781bdf03.pdf</t>
  </si>
  <si>
    <t>Stooq</t>
  </si>
  <si>
    <t>https://stooq.com/</t>
  </si>
  <si>
    <t>https://fred.stlouisfed.org/series/SP500#</t>
  </si>
  <si>
    <t>Damodaran Implied ERP (historical series)</t>
  </si>
  <si>
    <t>Damodaran Implied ERP (Historical Series)</t>
  </si>
  <si>
    <t>https://pages.stern.nyu.edu/~adamodar/New_Home_Page/datafile/histimpl.html</t>
  </si>
  <si>
    <t>Shares outstanding</t>
  </si>
  <si>
    <t>10-Q</t>
  </si>
  <si>
    <t>Current Share Price</t>
  </si>
  <si>
    <t>NASDAQ August 10, 2026</t>
  </si>
  <si>
    <t>Metric</t>
  </si>
  <si>
    <t>Calculated from shares outstanding and current market share</t>
  </si>
  <si>
    <t>Coupon</t>
  </si>
  <si>
    <t>Tranche</t>
  </si>
  <si>
    <t>Principal ($M)</t>
  </si>
  <si>
    <t>4.375% Senior Notes</t>
  </si>
  <si>
    <t>3.625% Senior Notes (2027)</t>
  </si>
  <si>
    <t>4.875% Senior Notes (2028)</t>
  </si>
  <si>
    <t>5.875% Senior Notes</t>
  </si>
  <si>
    <t>4.625% Senior Notes</t>
  </si>
  <si>
    <t>6.375% Senior Notes</t>
  </si>
  <si>
    <t>3.875% Senior Notes</t>
  </si>
  <si>
    <t>5.375% Senior Notes</t>
  </si>
  <si>
    <t>3.625% Senior Notes (2030)</t>
  </si>
  <si>
    <t>4.875% Senior Notes (2030)</t>
  </si>
  <si>
    <t>4.900% Senior Notes</t>
  </si>
  <si>
    <t>5.400% Senior Notes</t>
  </si>
  <si>
    <t>Cost of Debt (pre-tax)</t>
  </si>
  <si>
    <t>Cost of Debt (after-tax)</t>
  </si>
  <si>
    <t>Calculated from coupon and principal</t>
  </si>
  <si>
    <t>Weight of Equity</t>
  </si>
  <si>
    <t>Weight of Debt</t>
  </si>
  <si>
    <t>Calculated using market value of equity and market value of debt</t>
  </si>
  <si>
    <t>Discount Rate Methodology</t>
  </si>
  <si>
    <t>This model uses Netflix's WACC (10.79%) as the discount rate for all three titles, rather than adding a project-specific risk premium. The reasoning: discount rates are meant to price in systematic risk the part of a project's risk that moves with the broader market not idiosyncratic risk, which is specific to one title and doesn't require compensation in the rate itself because it's diversifiable across Netflix's full content slate. Whether Red Notice or Extraction 2 hits or flops depends mostly on title-specific factors (marketing, competition, reception), not market correlation, so that risk belongs in the cash flow assumptions, not the discount rate. This model addresses it through the sensitivity analysis instead testing a range of outcomes rather than inflating the rate used to discount them.</t>
  </si>
  <si>
    <t>Netflix Tudum (Top 10 - Most Popular Movies)</t>
  </si>
  <si>
    <t>https://www.netflix.com/tudum/top10/most-popular</t>
  </si>
  <si>
    <t>CBR - Netflix Most-Watched Movies of All Time</t>
  </si>
  <si>
    <t>https://www.cbr.com/netflix-most-watched-movies-all-time/</t>
  </si>
  <si>
    <t>Collider - Netflix Most-Streamed Movies of All Time</t>
  </si>
  <si>
    <t>https://collider.com/netflix-most-watched-movies-all-time-kpop-demon-hunters-red-notice-carry-on/</t>
  </si>
  <si>
    <t>What's on Netflix - Extraction Franchise Coverage</t>
  </si>
  <si>
    <t>https://www.whats-on-netflix.com/coming-soon/new-extraction-movies-series-coming-to-netflxi/</t>
  </si>
  <si>
    <t>Netflix Tudum (via CBR, Collider)</t>
  </si>
  <si>
    <t>First 91 days, all-time ranking; secondhand via press citing Tudum's official data</t>
  </si>
  <si>
    <t>Total Views</t>
  </si>
  <si>
    <t>views</t>
  </si>
  <si>
    <t>First 91 days; corroborated across two outlets</t>
  </si>
  <si>
    <t>Netflix Tudum (via What's on Netflix)</t>
  </si>
  <si>
    <t>First 91 days</t>
  </si>
  <si>
    <t>Extraction 2</t>
  </si>
  <si>
    <t>Total Hours Viewed (Actual)</t>
  </si>
  <si>
    <t>Franchise continuation outcome — used to validate the Extraction greenlight decision</t>
  </si>
  <si>
    <t>Total Views (Actual)</t>
  </si>
  <si>
    <t>Confirmed figure, audited box office data</t>
  </si>
  <si>
    <t>Full Year 2025 Revenue</t>
  </si>
  <si>
    <t>10-K</t>
  </si>
  <si>
    <t>FY2025, filed Jan 23 2026</t>
  </si>
  <si>
    <t>Global Paid Memberships</t>
  </si>
  <si>
    <t>members</t>
  </si>
  <si>
    <t>Q4'25 Shareholder Letter</t>
  </si>
  <si>
    <t>Over 325M - crossed milestone during Q4'25</t>
  </si>
  <si>
    <t>H2 2025 Hours Viewed (platform-wide)</t>
  </si>
  <si>
    <t>Bi-annual Engagement Report figure, H2 2025</t>
  </si>
  <si>
    <t>Global ARPU</t>
  </si>
  <si>
    <t>Avg Hours per Member</t>
  </si>
  <si>
    <t>Value Per Hour</t>
  </si>
  <si>
    <t xml:space="preserve">Calculated taking revenue divided by membership divided by 12 </t>
  </si>
  <si>
    <t>Calculated taking platform hours divided by membership divided by 6</t>
  </si>
  <si>
    <t>Calculated by dividing global ARPU by avg hours per month</t>
  </si>
  <si>
    <t xml:space="preserve">I </t>
  </si>
  <si>
    <t>Wikipedia - Carry-On (2024)</t>
  </si>
  <si>
    <t>https://en.wikipedia.org/wiki/Carry-On</t>
  </si>
  <si>
    <t>IMDb - Carry-On (2024) FAQ</t>
  </si>
  <si>
    <t>https://www.imdb.com/title/tt21382296/faq/</t>
  </si>
  <si>
    <t>Hollywood Reporter - Carry-On All-Time Top 10 Methodology</t>
  </si>
  <si>
    <t>https://www.hollywoodreporter.com/movies/movie-news/carry-on-movie-netflix-all-time-top-10-1236094600/</t>
  </si>
  <si>
    <t>Carry-On</t>
  </si>
  <si>
    <t>Wikipedia, IMDb</t>
  </si>
  <si>
    <t>Netflix Tudum (via Collider)</t>
  </si>
  <si>
    <t>Confirmed across two independent sources Decision Title vs. Comparable</t>
  </si>
  <si>
    <t>First 91 days, all-time ranking; secondhand via press citing Tudum's official data Confirmed across two independent sources Decision Title vs. Comparable</t>
  </si>
  <si>
    <t>First 91 days Confirmed across two independent sources Decision Title vs. Comparable</t>
  </si>
  <si>
    <t>ScreenRant - Super Mario Bros. Movie Netflix Debut Week Numbers</t>
  </si>
  <si>
    <t>https://screenrant.com/super-mario-bros-movie-netflix-viewership-numbers-chart-ranking/</t>
  </si>
  <si>
    <t>ScreenRant - Super Mario Bros. Movie Netflix Streak (8-Week Cumulative)</t>
  </si>
  <si>
    <t>https://screenrant.com/super-mario-movie-netflix-top-10-streak-disney-challenge/</t>
  </si>
  <si>
    <t xml:space="preserve">Statista - Top Streaming Movie Titles US 2024	</t>
  </si>
  <si>
    <t>https://www.statista.com/statistics/1448658/top-streaming-movies-us</t>
  </si>
  <si>
    <t xml:space="preserve">Dexerto - Super Mario Bros. Movie Removed From Netflix	</t>
  </si>
  <si>
    <t>https://www.dexerto.com/tv-movies/netflix-super-mario-bros-movie-being-removed-next-month-2887539/</t>
  </si>
  <si>
    <t>Comcast/UFEG - Netflix-Universal Licensing Deal Press Release</t>
  </si>
  <si>
    <t>https://corporate.comcast.com/press/releases/netflix-universal-filmed-entertainment-group-expand-licensing-deal-feature-films</t>
  </si>
  <si>
    <t>Netflix Hours Viewed (Debut Week)</t>
  </si>
  <si>
    <t>Netflix Tudum (via ScreenRant)</t>
  </si>
  <si>
    <t>Nov 27-Dec 3 2023, global, ranked #9</t>
  </si>
  <si>
    <t>Netflix Hours Viewed (First 8 Weeks, Cumulative)</t>
  </si>
  <si>
    <t>Global, through late Jan 2024</t>
  </si>
  <si>
    <t>Netflix Hours Viewed (Calendar Year 2024, US only)</t>
  </si>
  <si>
    <t>Statista/Nielsen</t>
  </si>
  <si>
    <t>11.72B minutes; excludes Dec 2023 launch month and all non-US viewing</t>
  </si>
  <si>
    <t>Netflix Top 10 Duration</t>
  </si>
  <si>
    <t>weeks</t>
  </si>
  <si>
    <t>Comcast/UFEG Press Release</t>
  </si>
  <si>
    <t>Primary source, direct from Netflix/Universal joint announcement; record-setting run, Dec 2023-Oct 2024</t>
  </si>
  <si>
    <t>N/A (see itemized rows below)</t>
  </si>
  <si>
    <t>—</t>
  </si>
  <si>
    <t>Correction: title WAS licensed to Netflix (Dec 2023-Oct 2024) via the Illumination/DreamWorks UFEG deal; real engagement data exists and is itemized below (rows 18-21). Original licensing/streaming-rights decision methodology retained since this remains fundamentally an acquisition decision; itemized hours now serve as actual-outcome validation, parallel to Extraction 2's role for the Extraction decision.</t>
  </si>
  <si>
    <t>The Gray Man</t>
  </si>
  <si>
    <t>Wikipedia</t>
  </si>
  <si>
    <t>Confirmed, matches Red Notice as Netflix's joint-most-expensive original at time of release; Comparable for Red Notice forecast</t>
  </si>
  <si>
    <t>Wikipedia (List of most-watched Netflix original programming, sourced from Netflix Tudum)</t>
  </si>
  <si>
    <t>First 91 days, current methodology; resolves earlier 28-day data mismatch; Comparable for Red Notice forecast</t>
  </si>
  <si>
    <t>First 91 days; Comparable for Red Notice forecast</t>
  </si>
  <si>
    <t>KPop Demon Hunters</t>
  </si>
  <si>
    <t>Wikipedia, IMDb, Hollywood Reporter</t>
  </si>
  <si>
    <t>Confirmed across multiple sources; Netflix committed to reimburse full production budget plus capped premium under 2021 direct-to-platform deal; Comparable for Red Notice forecast</t>
  </si>
  <si>
    <t>Wikipedia - List of Most-Watched Netflix Original Programming</t>
  </si>
  <si>
    <t>https://en.wikipedia.org/wiki/List_of_most-watched_Netflix_original_programming</t>
  </si>
  <si>
    <t xml:space="preserve">Hollywood Reporter - KPop Demon Hunters Sony Bonus Deal	</t>
  </si>
  <si>
    <t>https://www.hollywoodreporter.com/movies/movie-news/kpop-demon-hunters-netflix-awards-sony-1236420465/</t>
  </si>
  <si>
    <t>Bird Box</t>
  </si>
  <si>
    <t>Confirmed; Comparable for Red Notice forecast</t>
  </si>
  <si>
    <t>Don't Look Up</t>
  </si>
  <si>
    <t>Some outlets estimate up to $110M including star salaries; using Wikipedia's official figure for consistency; Comparable for Red Notice forecast</t>
  </si>
  <si>
    <t>The Adam Project</t>
  </si>
  <si>
    <t>Damsel</t>
  </si>
  <si>
    <t>Gross cost before UK tax incentives ($109.2M net); using gross for consistency across comp set; Comparable for Red Notice forecast</t>
  </si>
  <si>
    <t>Back in Action</t>
  </si>
  <si>
    <t>Gross cost before UK tax incentives ($158.9M net); later Netflix disclosure cites $231.7M; using Wikipedia gross figure for consistency; Comparable for Red Notice forecast</t>
  </si>
  <si>
    <t>Leave the World Behind</t>
  </si>
  <si>
    <t>No reliable source found; single unattributed estimate (~$70M) does not meet Medium confidence threshold; excluded from comp set</t>
  </si>
  <si>
    <t>First 91 days; NOT used as comp due to missing budget data</t>
  </si>
  <si>
    <t>Wikipedia - Don't Look Up</t>
  </si>
  <si>
    <t>https://en.wikipedia.org/wiki/Don%27t_Look_Up</t>
  </si>
  <si>
    <t>Wikipedia - The Adam Project</t>
  </si>
  <si>
    <t>https://en.wikipedia.org/wiki/The_Adam_Project</t>
  </si>
  <si>
    <t>Wikipedia - Damsel (2024 film)</t>
  </si>
  <si>
    <t>https://en.wikipedia.org/wiki/Damsel_(2024_film)</t>
  </si>
  <si>
    <t xml:space="preserve">Wikipedia - Back in Action (2025 film)	</t>
  </si>
  <si>
    <t>https://en.wikipedia.org/wiki/Back_in_Action_(2025_film)</t>
  </si>
  <si>
    <t>Wikipedia - Bird Box (film)</t>
  </si>
  <si>
    <t>https://en.wikipedia.org/wiki/Bird_Box_(film)</t>
  </si>
  <si>
    <t>Forbes - Back in Action $231.7M Cost Disclosure</t>
  </si>
  <si>
    <t>https://www.forbes.com/sites/carolinereid/2025/08/31/netflix-number-one-movie-hits-the-mark-with-230-million-costs/</t>
  </si>
  <si>
    <t>This model relies exclusively on public data sources, since internal Netflix engagement and financial systems aren't accessible externally. A production analyst in this role would have access to richer internal data (granular subscriber attribution, unredacted budgets, cross-era-consistent engagement tracking) that would resolve several of the constraints documented here — but the underlying analytical approach (comps-based forecasting, methodology-consistency checks, defensible confidence tiering) mirrors how that internal data would be used.</t>
  </si>
  <si>
    <t>estimate ranges from $150M (The Numbers) to $300M (director's own account, Screenrant reporting)</t>
  </si>
  <si>
    <t>Not disclosed for any title in this analysis; no reliable industry estimate exists for per-title marketing spend</t>
  </si>
  <si>
    <t>Production budget only; marketing excluded per N/A above</t>
  </si>
  <si>
    <t>Netflix Tudum</t>
  </si>
  <si>
    <t>attributable revenue</t>
  </si>
  <si>
    <t>Hours viewed x Value per Hour (from Metrics tab)</t>
  </si>
  <si>
    <t>Not applicable, Netflix original</t>
  </si>
  <si>
    <t>This is a backtest against actual outcome data, not a forward-looking forecast; see README for methodology</t>
  </si>
  <si>
    <t>91-day window only; conservative floor, not lifetime value (see README)</t>
  </si>
  <si>
    <t>Actual revenue minus total investment, undiscounted</t>
  </si>
  <si>
    <t>Metrics tab (WACC)</t>
  </si>
  <si>
    <t>discount period (years)</t>
  </si>
  <si>
    <t>91-day window expressed in years for discounting</t>
  </si>
  <si>
    <t>Not achieved within 91-day window</t>
  </si>
  <si>
    <t>53.4% of investment recouped within observable 91-day window; true payback period exceeds available data and cannot be precisely determined</t>
  </si>
  <si>
    <t>Midpoint of \$65-70M reported range; Low confidence, unconfirmed/not officially disclosed</t>
  </si>
  <si>
    <t>total hours viewed (Extraction 1, informing precedent)</t>
  </si>
  <si>
    <t>First 91 days; Extraction 1's real performance, used as the baseline precedent informing the Extraction 2 greenlight decision</t>
  </si>
  <si>
    <t>total projected revenue</t>
  </si>
  <si>
    <t>Extraction 1's hours x Value per Hour; naive baseline expectation for the sequel based on the franchise's prior real performance</t>
  </si>
  <si>
    <t>total hours viewed (Extraction 2, actual)</t>
  </si>
  <si>
    <t>First 91 days; Extraction 2's real outcome, used to validate the greenlight decision</t>
  </si>
  <si>
    <t>Extraction 2's hours x Value per Hour</t>
  </si>
  <si>
    <t>97.2% of investment recouped within observable 91-day window; true payback period exceeds available data</t>
  </si>
  <si>
    <t>Financed by Illumination/Universal, not Netflix production cost</t>
  </si>
  <si>
    <t>Not publicly disclosed anywhere for this title; no reliable estimate exists. NPV and payback period cannot be calculated without this figure - see notes below</t>
  </si>
  <si>
    <t>Not applicable; Netflix did not market this as an original release</t>
  </si>
  <si>
    <t>Cannot be calculated; licensing cost undisclosed</t>
  </si>
  <si>
    <t>worldwide box office</t>
  </si>
  <si>
    <t>Confirmed figure, audited box office data; theatrical performance prior to Netflix licensing, not a Netflix cash flow</t>
  </si>
  <si>
    <t>total hours viewed (debut week)</t>
  </si>
  <si>
    <t>total hours viewed (first 8 weeks, cumulative)</t>
  </si>
  <si>
    <t>revenue estimate (8-week window)</t>
  </si>
  <si>
    <t>Illustrates same 91-day-style understatement problem seen with Red Notice/Extraction, at a much more extreme scale</t>
  </si>
  <si>
    <t>total hours viewed (calendar year 2024, US only)</t>
  </si>
  <si>
    <t>Excludes Dec 2023 launch month and all non-US viewing; NOT global, understates true total</t>
  </si>
  <si>
    <t>revenue estimate (CY2024, US-only window)</t>
  </si>
  <si>
    <t>Uses global value-per-hour rate against US-only hours - known scope mismatch, likely understates true value further since it excludes non-US engagement entirely</t>
  </si>
  <si>
    <t>netflix top 10 duration</t>
  </si>
  <si>
    <t>Primary source; record-setting run, Dec 2023-Oct 2024; full run extends well beyond both windows shown above</t>
  </si>
  <si>
    <t>Cannot be calculated without licensing cost</t>
  </si>
  <si>
    <t xml:space="preserve">licensing cost 	N/A </t>
  </si>
  <si>
    <t>Industry-standard licensing deals of this type (e.g., Netflix-Sony pay-1 deal) are confirmed to use box-office-linked rate cards, per Deadline reporting. However, no specific rate or per-title dollar figure has been publicly disclosed for the Universal/Illumination/DreamWorks deal under which Mario was licensed. A defensible cost estimate cannot be constructed without a rate figure that doesn't exist in public sources.</t>
  </si>
  <si>
    <t>Value per Hour \ Discount Rate</t>
  </si>
  <si>
    <t>10.79% (Base)</t>
  </si>
  <si>
    <t>Base ($0.235328)</t>
  </si>
  <si>
    <t>Value per Hour \ Hours-Viewed Window</t>
  </si>
  <si>
    <t>8-week (6.5M hrs)</t>
  </si>
  <si>
    <t>CY2024 US-only (195.3M hrs)</t>
  </si>
  <si>
    <t>Original content greenlight (retrospective backtest)</t>
  </si>
  <si>
    <t>Not achieved within 91-day window (53.4% recouped)</t>
  </si>
  <si>
    <t>GO, with caveat</t>
  </si>
  <si>
    <t>91-day NPV is a known conservative floor, not a lifetime estimate; true economics beyond the observable window are unknown from public data</t>
  </si>
  <si>
    <t>91-day NPV is negative, but this window structurally understates value (content amortized over years per Netflix's own accounting, Note 5 of 10-Q). Real-world evidence strongly supports a positive lifetime NPV: became Netflix's most-watched film for several years, remained in the all-time Top 10, and Netflix itself greenlit a sequel - a strong revealed-preference signal the studio views the original as having paid off</t>
  </si>
  <si>
    <t>Franchise continuation greenlight (retrospective backtest, Extraction 2)</t>
  </si>
  <si>
    <t>Not achieved within 91-day window (97.2% recouped)</t>
  </si>
  <si>
    <t>GO</t>
  </si>
  <si>
    <t>NPV is highly sensitive to Value per Hour assumption - flips positive at only +10% off base case</t>
  </si>
  <si>
    <t>Nearly broke even within the conservative 91-day window alone (97.2% recouped), a meaningfully stronger result than Red Notice's. Given the same understatement bias applies here, true lifetime NPV is very likely positive. Extraction 2 also outperformed Extraction 1 (278.7M vs 266.9M hours), validating the precedent the continuation decision was based on</t>
  </si>
  <si>
    <t>Licensing/streaming rights acquisition (retrospective, real deal already executed by Netflix)</t>
  </si>
  <si>
    <t>N/A - licensing cost not publicly disclosed</t>
  </si>
  <si>
    <t>N/A - cannot calculate without cost figure</t>
  </si>
  <si>
    <t>Cannot be formally assessed via NPV; qualitative evidence supports the actual decision</t>
  </si>
  <si>
    <t>No public licensing cost figure exists for this or any comparable title in the UFEG output deal; industry-standard rate-card structure confirmed but rate itself undisclosed</t>
  </si>
  <si>
    <t>NPV/payback cannot be computed without a cost input. However, real engagement data is compelling on its own: record-setting 38-week Top 10 run, and CY2024 US-only engagement alone (195.3M hours) was ~30x the initial 8-week figure - a clear illustration that licensed library content compounds value over a much longer horizon than the 91-day metric used elsewhere in this model</t>
  </si>
  <si>
    <t>Comps Based Forecasting</t>
  </si>
  <si>
    <t>A comps-based forecast for Red Notice (predicting hours viewed from production budget, using 8 comparable Netflix action/thriller originals) was tested and found statistically insignificant (R² = 0.031, p = 0.677). This is a genuine finding, not a methodology failure: budget alone is not a reliable predictor of streaming engagement, since success depends more on marketing, star power, timing, and reception than raw production cost. Rather than force a fabricated point estimate, this model instead evaluates each title as a retrospective backtest against real, sourced outcome data (Netflix Tudum's official 91-day hours-viewed figures).</t>
  </si>
  <si>
    <t>Comp Set Size Limitation</t>
  </si>
  <si>
    <t>Netflix changed its public engagement-tracking methodology in November 2021, from "households reached in 28 days" to "hours viewed in 91 days." Titles released before that date have no data in the current metric not withheld, never measured under this standard. Additionally, Netflix's official 91-day rankings are only ever published for currently-ranked titles; once a title falls out of the all-time Top 10, its figure is generally no longer republished. Both factors impose a structural ceiling on the size of a same-methodology comp set obtainable from public sources.</t>
  </si>
  <si>
    <t>The Value per Hour figure ($0.235328) was cross-checked against an independent calculation: content amortization expense (10-Q, Note 5) divided by platform-wide hours viewed (Q4'25 Shareholder Letter). This yields a cost-per-hour of approximately $0.089 meaning revenue-per-hour exceeds cost-per-hour by roughly 2.65x, directionally consistent with Netflix's reported operating margin and cost structure. Note: the two figures compared are drawn from slightly offset reporting periods (six months ended June 30, 2026 vs. H2 2025), so this is a directional validation, not a precisely period-matched one.</t>
  </si>
  <si>
    <t>Mario's Structural Notes</t>
  </si>
  <si>
    <t>Mario's tab is structured differently from Red Notice and Extraction because it represents a fundamentally different decision type: a licensing/streaming-rights acquisition of an already-independently-monetized title (full theatrical run and box office prior to any Netflix involvement), versus a decision to finance new production for direct streaming. Mario's licensing cost is not publicly disclosed for this or any comparable title under the Universal/Illumination/DreamWorks output deal; industry-standard practice for this deal type is confirmed to use box-office-linked rate cards (per Netflix-Sony pay-1 deal reporting), but no specific rate has been disclosed, so a defensible cost estimate cannot be constructed. NPV and payback period are therefore not calculable for this title; the analysis instead presents real engagement data as qualitative evidence.</t>
  </si>
  <si>
    <t>91-Day window as a conservative floor</t>
  </si>
  <si>
    <t>All hours-viewed figures for Red Notice and Extraction reflect Netflix's official 91-day measurement window, which understates total lifetime engagement value. This is best illustrated by Mario's real engagement data: its first-8-week hours-viewed figure (6.5M) is roughly 30x smaller than its calendar-year-2024 (US-only) figure alone (195.3M) and the true full-run total, across its record 38-week Top 10 run, is higher still. NPV figures throughout this model should be read as conservative floors, not lifetime estimates, consistent with how Netflix's own accounting recognizes content value over an extended amortization period rather than at a single point in time (10-Q, Note 5).</t>
  </si>
  <si>
    <t>Deadline - Netflix-Sony $7B Pay-1 Deal</t>
  </si>
  <si>
    <t>https://deadline.com/2026/01/netflix-sony-pictures-deal-pay-1-1236684173/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</si>
</sst>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0.0000000000000000%"/>
  </numFmts>
  <fonts count="4" x14ac:knownFonts="1">
    <font>
      <sz val="12"/>
      <color theme="1"/>
      <name val="Aptos Narrow"/>
      <family val="2"/>
      <scheme val="minor"/>
    </font>
    <font>
      <sz val="12"/>
      <color theme="1"/>
      <name val="Aptos Narrow"/>
      <family val="2"/>
      <scheme val="minor"/>
    </font>
    <font>
      <u/>
      <sz val="12"/>
      <color theme="10"/>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13">
    <xf numFmtId="0" fontId="0" fillId="0" borderId="0" xfId="0"/>
    <xf numFmtId="44" fontId="0" fillId="0" borderId="0" xfId="1" applyFont="1"/>
    <xf numFmtId="6" fontId="0" fillId="0" borderId="0" xfId="0" applyNumberFormat="1"/>
    <xf numFmtId="9" fontId="0" fillId="0" borderId="0" xfId="0" applyNumberFormat="1"/>
    <xf numFmtId="8" fontId="0" fillId="0" borderId="0" xfId="0" applyNumberFormat="1"/>
    <xf numFmtId="6" fontId="0" fillId="0" borderId="0" xfId="1" applyNumberFormat="1" applyFont="1"/>
    <xf numFmtId="10" fontId="0" fillId="0" borderId="0" xfId="0" applyNumberFormat="1"/>
    <xf numFmtId="14" fontId="0" fillId="0" borderId="0" xfId="0" applyNumberFormat="1"/>
    <xf numFmtId="0" fontId="2" fillId="0" borderId="0" xfId="3"/>
    <xf numFmtId="164" fontId="0" fillId="0" borderId="0" xfId="0" applyNumberFormat="1"/>
    <xf numFmtId="3" fontId="0" fillId="0" borderId="0" xfId="0" applyNumberFormat="1"/>
    <xf numFmtId="10" fontId="0" fillId="0" borderId="0" xfId="2" applyNumberFormat="1" applyFont="1"/>
    <xf numFmtId="0" fontId="3" fillId="0" borderId="0" xfId="0" applyFont="1"/>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8" Type="http://schemas.openxmlformats.org/officeDocument/2006/relationships/hyperlink" Target="https://fred.stlouisfed.org/series/SP500" TargetMode="External"/><Relationship Id="rId13" Type="http://schemas.openxmlformats.org/officeDocument/2006/relationships/hyperlink" Target="https://www.whats-on-netflix.com/coming-soon/new-extraction-movies-series-coming-to-netflxi/" TargetMode="External"/><Relationship Id="rId18" Type="http://schemas.openxmlformats.org/officeDocument/2006/relationships/hyperlink" Target="https://screenrant.com/super-mario-bros-movie-netflix-viewership-numbers-chart-ranking/" TargetMode="External"/><Relationship Id="rId26" Type="http://schemas.openxmlformats.org/officeDocument/2006/relationships/hyperlink" Target="https://en.wikipedia.org/wiki/The_Adam_Project" TargetMode="External"/><Relationship Id="rId3" Type="http://schemas.openxmlformats.org/officeDocument/2006/relationships/hyperlink" Target="https://s22.q4cdn.com/959853165/files/doc_financials/2025/q4/FINAL-Q4-25-Shareholder-Letter.pdf" TargetMode="External"/><Relationship Id="rId21" Type="http://schemas.openxmlformats.org/officeDocument/2006/relationships/hyperlink" Target="https://www.dexerto.com/tv-movies/netflix-super-mario-bros-movie-being-removed-next-month-2887539/" TargetMode="External"/><Relationship Id="rId7" Type="http://schemas.openxmlformats.org/officeDocument/2006/relationships/hyperlink" Target="https://stooq.com/" TargetMode="External"/><Relationship Id="rId12" Type="http://schemas.openxmlformats.org/officeDocument/2006/relationships/hyperlink" Target="https://collider.com/netflix-most-watched-movies-all-time-kpop-demon-hunters-red-notice-carry-on/" TargetMode="External"/><Relationship Id="rId17" Type="http://schemas.openxmlformats.org/officeDocument/2006/relationships/hyperlink" Target="https://www.hollywoodreporter.com/movies/movie-news/carry-on-movie-netflix-all-time-top-10-1236094600/" TargetMode="External"/><Relationship Id="rId25" Type="http://schemas.openxmlformats.org/officeDocument/2006/relationships/hyperlink" Target="https://en.wikipedia.org/wiki/Don%27t_Look_Up" TargetMode="External"/><Relationship Id="rId2" Type="http://schemas.openxmlformats.org/officeDocument/2006/relationships/hyperlink" Target="https://ir.netflix.net/investor-news-and-events/investor-events/event-details/2026/Netflix-Fourth-Quarter-2025-Earnings-Interview-2026-ILhOSSH43f/default.aspx" TargetMode="External"/><Relationship Id="rId16" Type="http://schemas.openxmlformats.org/officeDocument/2006/relationships/hyperlink" Target="https://collider.com/netflix-most-watched-movies-all-time-kpop-demon-hunters-red-notice-carry-on/" TargetMode="External"/><Relationship Id="rId20" Type="http://schemas.openxmlformats.org/officeDocument/2006/relationships/hyperlink" Target="https://www.statista.com/statistics/1448658/top-streaming-movies-us" TargetMode="External"/><Relationship Id="rId29" Type="http://schemas.openxmlformats.org/officeDocument/2006/relationships/hyperlink" Target="https://en.wikipedia.org/wiki/Bird_Box_(film)" TargetMode="External"/><Relationship Id="rId1" Type="http://schemas.openxmlformats.org/officeDocument/2006/relationships/hyperlink" Target="https://www.the-numbers.com/" TargetMode="External"/><Relationship Id="rId6" Type="http://schemas.openxmlformats.org/officeDocument/2006/relationships/hyperlink" Target="https://d18rn0p25nwr6d.cloudfront.net/CIK-0001065280/99482238-46b2-4d0d-b292-40e6781bdf03.pdf" TargetMode="External"/><Relationship Id="rId11" Type="http://schemas.openxmlformats.org/officeDocument/2006/relationships/hyperlink" Target="https://www.cbr.com/netflix-most-watched-movies-all-time/" TargetMode="External"/><Relationship Id="rId24" Type="http://schemas.openxmlformats.org/officeDocument/2006/relationships/hyperlink" Target="https://www.hollywoodreporter.com/movies/movie-news/kpop-demon-hunters-netflix-awards-sony-1236420465/" TargetMode="External"/><Relationship Id="rId5" Type="http://schemas.openxmlformats.org/officeDocument/2006/relationships/hyperlink" Target="https://d18rn0p25nwr6d.cloudfront.net/CIK-0001065280/65ef36cc-6598-4deb-a42b-8c59a8e31fd3.pdf" TargetMode="External"/><Relationship Id="rId15" Type="http://schemas.openxmlformats.org/officeDocument/2006/relationships/hyperlink" Target="https://www.imdb.com/title/tt21382296/faq/" TargetMode="External"/><Relationship Id="rId23" Type="http://schemas.openxmlformats.org/officeDocument/2006/relationships/hyperlink" Target="https://en.wikipedia.org/wiki/List_of_most-watched_Netflix_original_programming" TargetMode="External"/><Relationship Id="rId28" Type="http://schemas.openxmlformats.org/officeDocument/2006/relationships/hyperlink" Target="https://en.wikipedia.org/wiki/Back_in_Action_(2025_film)" TargetMode="External"/><Relationship Id="rId10" Type="http://schemas.openxmlformats.org/officeDocument/2006/relationships/hyperlink" Target="https://www.netflix.com/tudum/top10/most-popular" TargetMode="External"/><Relationship Id="rId19" Type="http://schemas.openxmlformats.org/officeDocument/2006/relationships/hyperlink" Target="https://screenrant.com/super-mario-movie-netflix-top-10-streak-disney-challenge/" TargetMode="External"/><Relationship Id="rId31" Type="http://schemas.openxmlformats.org/officeDocument/2006/relationships/hyperlink" Target="https://deadline.com/2026/01/netflix-sony-pictures-deal-pay-1-1236684173/" TargetMode="External"/><Relationship Id="rId4" Type="http://schemas.openxmlformats.org/officeDocument/2006/relationships/hyperlink" Target="https://ir.netflix.net/financials/sec-filings/default.aspx" TargetMode="External"/><Relationship Id="rId9" Type="http://schemas.openxmlformats.org/officeDocument/2006/relationships/hyperlink" Target="https://pages.stern.nyu.edu/~adamodar/New_Home_Page/datafile/histimpl.html" TargetMode="External"/><Relationship Id="rId14" Type="http://schemas.openxmlformats.org/officeDocument/2006/relationships/hyperlink" Target="https://en.wikipedia.org/wiki/Carry-On" TargetMode="External"/><Relationship Id="rId22" Type="http://schemas.openxmlformats.org/officeDocument/2006/relationships/hyperlink" Target="https://corporate.comcast.com/press/releases/netflix-universal-filmed-entertainment-group-expand-licensing-deal-feature-films" TargetMode="External"/><Relationship Id="rId27" Type="http://schemas.openxmlformats.org/officeDocument/2006/relationships/hyperlink" Target="https://en.wikipedia.org/wiki/Damsel_(2024_film)" TargetMode="External"/><Relationship Id="rId30" Type="http://schemas.openxmlformats.org/officeDocument/2006/relationships/hyperlink" Target="https://www.forbes.com/sites/carolinereid/2025/08/31/netflix-number-one-movie-hits-the-mark-with-230-million-cos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131B-40A4-B34D-87C5-C88B28874A03}">
  <dimension ref="A1:G98"/>
  <sheetViews>
    <sheetView tabSelected="1" workbookViewId="0">
      <selection activeCell="A65" sqref="A65:D87"/>
    </sheetView>
  </sheetViews>
  <sheetFormatPr baseColWidth="10" defaultRowHeight="16" x14ac:dyDescent="0.2"/>
  <cols>
    <col min="1" max="1" width="41" bestFit="1" customWidth="1"/>
    <col min="2" max="2" width="43.33203125" customWidth="1"/>
    <col min="3" max="3" width="16" bestFit="1" customWidth="1"/>
    <col min="4" max="4" width="16" customWidth="1"/>
  </cols>
  <sheetData>
    <row r="1" spans="1:7" x14ac:dyDescent="0.2">
      <c r="A1" t="s">
        <v>6</v>
      </c>
      <c r="B1" t="s">
        <v>29</v>
      </c>
      <c r="C1" t="s">
        <v>0</v>
      </c>
      <c r="D1" t="s">
        <v>1</v>
      </c>
      <c r="E1" t="s">
        <v>2</v>
      </c>
      <c r="F1" t="s">
        <v>3</v>
      </c>
      <c r="G1" t="s">
        <v>4</v>
      </c>
    </row>
    <row r="2" spans="1:7" x14ac:dyDescent="0.2">
      <c r="A2" t="s">
        <v>30</v>
      </c>
      <c r="B2" t="s">
        <v>33</v>
      </c>
      <c r="C2" s="5">
        <v>200000000</v>
      </c>
      <c r="D2" s="1" t="s">
        <v>13</v>
      </c>
      <c r="E2" t="s">
        <v>14</v>
      </c>
      <c r="F2" t="s">
        <v>46</v>
      </c>
      <c r="G2" t="s">
        <v>50</v>
      </c>
    </row>
    <row r="3" spans="1:7" x14ac:dyDescent="0.2">
      <c r="A3" t="s">
        <v>31</v>
      </c>
      <c r="B3" t="s">
        <v>33</v>
      </c>
      <c r="C3" s="1">
        <v>65000000</v>
      </c>
      <c r="D3" s="1" t="s">
        <v>13</v>
      </c>
      <c r="E3" t="s">
        <v>14</v>
      </c>
      <c r="F3" t="s">
        <v>15</v>
      </c>
      <c r="G3" t="s">
        <v>49</v>
      </c>
    </row>
    <row r="4" spans="1:7" x14ac:dyDescent="0.2">
      <c r="A4" t="s">
        <v>36</v>
      </c>
      <c r="B4" t="s">
        <v>33</v>
      </c>
      <c r="C4" s="2">
        <v>100000000</v>
      </c>
      <c r="D4" s="2" t="s">
        <v>13</v>
      </c>
      <c r="E4" t="s">
        <v>14</v>
      </c>
      <c r="F4" t="s">
        <v>15</v>
      </c>
      <c r="G4" t="s">
        <v>34</v>
      </c>
    </row>
    <row r="5" spans="1:7" x14ac:dyDescent="0.2">
      <c r="A5" t="s">
        <v>30</v>
      </c>
      <c r="B5" t="s">
        <v>35</v>
      </c>
      <c r="C5">
        <v>454200000</v>
      </c>
      <c r="D5" t="s">
        <v>51</v>
      </c>
      <c r="E5" t="s">
        <v>130</v>
      </c>
      <c r="F5" t="s">
        <v>46</v>
      </c>
      <c r="G5" t="s">
        <v>131</v>
      </c>
    </row>
    <row r="6" spans="1:7" x14ac:dyDescent="0.2">
      <c r="A6" t="s">
        <v>30</v>
      </c>
      <c r="B6" t="s">
        <v>132</v>
      </c>
      <c r="C6">
        <v>230900000</v>
      </c>
      <c r="D6" t="s">
        <v>133</v>
      </c>
      <c r="E6" t="s">
        <v>130</v>
      </c>
      <c r="F6" t="s">
        <v>46</v>
      </c>
      <c r="G6" t="s">
        <v>134</v>
      </c>
    </row>
    <row r="7" spans="1:7" x14ac:dyDescent="0.2">
      <c r="A7" t="s">
        <v>31</v>
      </c>
      <c r="B7" t="s">
        <v>35</v>
      </c>
      <c r="C7">
        <v>266900000</v>
      </c>
      <c r="D7" t="s">
        <v>51</v>
      </c>
      <c r="E7" t="s">
        <v>135</v>
      </c>
      <c r="F7" t="s">
        <v>46</v>
      </c>
      <c r="G7" t="s">
        <v>136</v>
      </c>
    </row>
    <row r="8" spans="1:7" x14ac:dyDescent="0.2">
      <c r="A8" t="s">
        <v>31</v>
      </c>
      <c r="B8" t="s">
        <v>132</v>
      </c>
      <c r="C8">
        <v>135700000</v>
      </c>
      <c r="D8" t="s">
        <v>133</v>
      </c>
      <c r="E8" t="s">
        <v>135</v>
      </c>
      <c r="F8" t="s">
        <v>46</v>
      </c>
      <c r="G8" t="s">
        <v>136</v>
      </c>
    </row>
    <row r="9" spans="1:7" x14ac:dyDescent="0.2">
      <c r="A9" t="s">
        <v>137</v>
      </c>
      <c r="B9" t="s">
        <v>138</v>
      </c>
      <c r="C9">
        <v>278700000</v>
      </c>
      <c r="D9" t="s">
        <v>51</v>
      </c>
      <c r="E9" t="s">
        <v>135</v>
      </c>
      <c r="F9" t="s">
        <v>46</v>
      </c>
      <c r="G9" t="s">
        <v>139</v>
      </c>
    </row>
    <row r="10" spans="1:7" x14ac:dyDescent="0.2">
      <c r="A10" t="s">
        <v>137</v>
      </c>
      <c r="B10" t="s">
        <v>140</v>
      </c>
      <c r="C10">
        <v>134900000</v>
      </c>
      <c r="D10" t="s">
        <v>133</v>
      </c>
      <c r="E10" t="s">
        <v>135</v>
      </c>
      <c r="F10" t="s">
        <v>46</v>
      </c>
    </row>
    <row r="11" spans="1:7" x14ac:dyDescent="0.2">
      <c r="A11" t="s">
        <v>36</v>
      </c>
      <c r="B11" t="s">
        <v>37</v>
      </c>
      <c r="C11">
        <v>1359226275</v>
      </c>
      <c r="D11" t="s">
        <v>13</v>
      </c>
      <c r="E11" t="s">
        <v>76</v>
      </c>
      <c r="F11" t="s">
        <v>15</v>
      </c>
      <c r="G11" t="s">
        <v>141</v>
      </c>
    </row>
    <row r="12" spans="1:7" x14ac:dyDescent="0.2">
      <c r="A12" t="s">
        <v>38</v>
      </c>
      <c r="B12" t="s">
        <v>142</v>
      </c>
      <c r="C12">
        <v>45183000000</v>
      </c>
      <c r="D12" t="s">
        <v>13</v>
      </c>
      <c r="E12" t="s">
        <v>143</v>
      </c>
      <c r="F12" t="s">
        <v>15</v>
      </c>
      <c r="G12" t="s">
        <v>144</v>
      </c>
    </row>
    <row r="13" spans="1:7" x14ac:dyDescent="0.2">
      <c r="A13" t="s">
        <v>38</v>
      </c>
      <c r="B13" t="s">
        <v>145</v>
      </c>
      <c r="C13">
        <v>325000000</v>
      </c>
      <c r="D13" t="s">
        <v>146</v>
      </c>
      <c r="E13" t="s">
        <v>147</v>
      </c>
      <c r="F13" t="s">
        <v>15</v>
      </c>
      <c r="G13" t="s">
        <v>148</v>
      </c>
    </row>
    <row r="14" spans="1:7" x14ac:dyDescent="0.2">
      <c r="A14" t="s">
        <v>38</v>
      </c>
      <c r="B14" t="s">
        <v>149</v>
      </c>
      <c r="C14">
        <v>96000000000</v>
      </c>
      <c r="D14" t="s">
        <v>51</v>
      </c>
      <c r="E14" t="s">
        <v>147</v>
      </c>
      <c r="F14" t="s">
        <v>15</v>
      </c>
      <c r="G14" t="s">
        <v>150</v>
      </c>
    </row>
    <row r="15" spans="1:7" x14ac:dyDescent="0.2">
      <c r="A15" t="s">
        <v>164</v>
      </c>
      <c r="B15" t="s">
        <v>33</v>
      </c>
      <c r="C15">
        <v>47000000</v>
      </c>
      <c r="D15" t="s">
        <v>13</v>
      </c>
      <c r="E15" t="s">
        <v>165</v>
      </c>
      <c r="F15" t="s">
        <v>15</v>
      </c>
      <c r="G15" t="s">
        <v>167</v>
      </c>
    </row>
    <row r="16" spans="1:7" x14ac:dyDescent="0.2">
      <c r="A16" t="s">
        <v>164</v>
      </c>
      <c r="B16" t="s">
        <v>35</v>
      </c>
      <c r="C16">
        <v>344100000</v>
      </c>
      <c r="D16" t="s">
        <v>51</v>
      </c>
      <c r="E16" t="s">
        <v>166</v>
      </c>
      <c r="F16" t="s">
        <v>46</v>
      </c>
      <c r="G16" t="s">
        <v>168</v>
      </c>
    </row>
    <row r="17" spans="1:7" x14ac:dyDescent="0.2">
      <c r="A17" t="s">
        <v>164</v>
      </c>
      <c r="B17" t="s">
        <v>132</v>
      </c>
      <c r="C17">
        <v>172100000</v>
      </c>
      <c r="D17" t="s">
        <v>133</v>
      </c>
      <c r="E17" t="s">
        <v>166</v>
      </c>
      <c r="F17" t="s">
        <v>46</v>
      </c>
      <c r="G17" t="s">
        <v>169</v>
      </c>
    </row>
    <row r="18" spans="1:7" x14ac:dyDescent="0.2">
      <c r="A18" t="s">
        <v>36</v>
      </c>
      <c r="B18" t="s">
        <v>180</v>
      </c>
      <c r="C18">
        <v>4800000</v>
      </c>
      <c r="D18" t="s">
        <v>51</v>
      </c>
      <c r="E18" t="s">
        <v>181</v>
      </c>
      <c r="F18" t="s">
        <v>46</v>
      </c>
      <c r="G18" t="s">
        <v>182</v>
      </c>
    </row>
    <row r="19" spans="1:7" x14ac:dyDescent="0.2">
      <c r="A19" t="s">
        <v>36</v>
      </c>
      <c r="B19" t="s">
        <v>183</v>
      </c>
      <c r="C19">
        <v>6500000</v>
      </c>
      <c r="D19" t="s">
        <v>51</v>
      </c>
      <c r="E19" t="s">
        <v>181</v>
      </c>
      <c r="F19" t="s">
        <v>46</v>
      </c>
      <c r="G19" t="s">
        <v>184</v>
      </c>
    </row>
    <row r="20" spans="1:7" x14ac:dyDescent="0.2">
      <c r="A20" t="s">
        <v>36</v>
      </c>
      <c r="B20" t="s">
        <v>185</v>
      </c>
      <c r="C20">
        <v>195300000</v>
      </c>
      <c r="D20" t="s">
        <v>51</v>
      </c>
      <c r="E20" t="s">
        <v>186</v>
      </c>
      <c r="F20" t="s">
        <v>46</v>
      </c>
      <c r="G20" t="s">
        <v>187</v>
      </c>
    </row>
    <row r="21" spans="1:7" x14ac:dyDescent="0.2">
      <c r="A21" t="s">
        <v>36</v>
      </c>
      <c r="B21" t="s">
        <v>188</v>
      </c>
      <c r="C21">
        <v>38</v>
      </c>
      <c r="D21" t="s">
        <v>189</v>
      </c>
      <c r="E21" t="s">
        <v>190</v>
      </c>
      <c r="F21" t="s">
        <v>15</v>
      </c>
      <c r="G21" t="s">
        <v>191</v>
      </c>
    </row>
    <row r="22" spans="1:7" x14ac:dyDescent="0.2">
      <c r="A22" t="s">
        <v>36</v>
      </c>
      <c r="B22" t="s">
        <v>35</v>
      </c>
      <c r="C22" t="s">
        <v>192</v>
      </c>
      <c r="D22" t="s">
        <v>51</v>
      </c>
      <c r="E22" t="s">
        <v>193</v>
      </c>
      <c r="F22" t="s">
        <v>193</v>
      </c>
      <c r="G22" t="s">
        <v>194</v>
      </c>
    </row>
    <row r="23" spans="1:7" x14ac:dyDescent="0.2">
      <c r="A23" t="s">
        <v>195</v>
      </c>
      <c r="B23" t="s">
        <v>33</v>
      </c>
      <c r="C23">
        <v>200000000</v>
      </c>
      <c r="D23" t="s">
        <v>13</v>
      </c>
      <c r="E23" t="s">
        <v>196</v>
      </c>
      <c r="F23" t="s">
        <v>15</v>
      </c>
      <c r="G23" t="s">
        <v>197</v>
      </c>
    </row>
    <row r="24" spans="1:7" x14ac:dyDescent="0.2">
      <c r="A24" t="s">
        <v>195</v>
      </c>
      <c r="B24" t="s">
        <v>35</v>
      </c>
      <c r="C24">
        <v>299500000</v>
      </c>
      <c r="D24" t="s">
        <v>51</v>
      </c>
      <c r="E24" t="s">
        <v>198</v>
      </c>
      <c r="F24" t="s">
        <v>15</v>
      </c>
      <c r="G24" t="s">
        <v>199</v>
      </c>
    </row>
    <row r="25" spans="1:7" x14ac:dyDescent="0.2">
      <c r="A25" t="s">
        <v>195</v>
      </c>
      <c r="B25" t="s">
        <v>132</v>
      </c>
      <c r="C25">
        <v>139300000</v>
      </c>
      <c r="D25" t="s">
        <v>133</v>
      </c>
      <c r="E25" t="s">
        <v>198</v>
      </c>
      <c r="F25" t="s">
        <v>15</v>
      </c>
      <c r="G25" t="s">
        <v>200</v>
      </c>
    </row>
    <row r="26" spans="1:7" x14ac:dyDescent="0.2">
      <c r="A26" t="s">
        <v>201</v>
      </c>
      <c r="B26" t="s">
        <v>33</v>
      </c>
      <c r="C26">
        <v>100000000</v>
      </c>
      <c r="D26" t="s">
        <v>13</v>
      </c>
      <c r="E26" t="s">
        <v>202</v>
      </c>
      <c r="F26" t="s">
        <v>15</v>
      </c>
      <c r="G26" t="s">
        <v>203</v>
      </c>
    </row>
    <row r="27" spans="1:7" x14ac:dyDescent="0.2">
      <c r="A27" t="s">
        <v>201</v>
      </c>
      <c r="B27" t="s">
        <v>35</v>
      </c>
      <c r="C27">
        <v>541800000</v>
      </c>
      <c r="D27" t="s">
        <v>51</v>
      </c>
      <c r="E27" t="s">
        <v>198</v>
      </c>
      <c r="F27" t="s">
        <v>15</v>
      </c>
      <c r="G27" t="s">
        <v>200</v>
      </c>
    </row>
    <row r="28" spans="1:7" x14ac:dyDescent="0.2">
      <c r="A28" t="s">
        <v>201</v>
      </c>
      <c r="B28" t="s">
        <v>132</v>
      </c>
      <c r="C28">
        <v>325100000</v>
      </c>
      <c r="D28" t="s">
        <v>133</v>
      </c>
      <c r="E28" t="s">
        <v>198</v>
      </c>
      <c r="F28" t="s">
        <v>15</v>
      </c>
      <c r="G28" t="s">
        <v>200</v>
      </c>
    </row>
    <row r="29" spans="1:7" x14ac:dyDescent="0.2">
      <c r="A29" t="s">
        <v>208</v>
      </c>
      <c r="B29" t="s">
        <v>33</v>
      </c>
      <c r="C29">
        <v>19800000</v>
      </c>
      <c r="D29" t="s">
        <v>13</v>
      </c>
      <c r="E29" t="s">
        <v>196</v>
      </c>
      <c r="F29" t="s">
        <v>15</v>
      </c>
      <c r="G29" t="s">
        <v>209</v>
      </c>
    </row>
    <row r="30" spans="1:7" x14ac:dyDescent="0.2">
      <c r="A30" t="s">
        <v>208</v>
      </c>
      <c r="B30" t="s">
        <v>35</v>
      </c>
      <c r="C30">
        <v>325300000</v>
      </c>
      <c r="D30" t="s">
        <v>51</v>
      </c>
      <c r="E30" t="s">
        <v>198</v>
      </c>
      <c r="F30" t="s">
        <v>15</v>
      </c>
      <c r="G30" t="s">
        <v>200</v>
      </c>
    </row>
    <row r="31" spans="1:7" x14ac:dyDescent="0.2">
      <c r="A31" t="s">
        <v>208</v>
      </c>
      <c r="B31" t="s">
        <v>132</v>
      </c>
      <c r="C31">
        <v>157400000</v>
      </c>
      <c r="D31" t="s">
        <v>133</v>
      </c>
      <c r="E31" t="s">
        <v>198</v>
      </c>
      <c r="F31" t="s">
        <v>15</v>
      </c>
      <c r="G31" t="s">
        <v>200</v>
      </c>
    </row>
    <row r="32" spans="1:7" x14ac:dyDescent="0.2">
      <c r="A32" t="s">
        <v>210</v>
      </c>
      <c r="B32" t="s">
        <v>33</v>
      </c>
      <c r="C32">
        <v>75000000</v>
      </c>
      <c r="D32" t="s">
        <v>13</v>
      </c>
      <c r="E32" t="s">
        <v>196</v>
      </c>
      <c r="F32" t="s">
        <v>46</v>
      </c>
      <c r="G32" t="s">
        <v>211</v>
      </c>
    </row>
    <row r="33" spans="1:7" x14ac:dyDescent="0.2">
      <c r="A33" t="s">
        <v>210</v>
      </c>
      <c r="B33" t="s">
        <v>35</v>
      </c>
      <c r="C33">
        <v>408600000</v>
      </c>
      <c r="D33" t="s">
        <v>51</v>
      </c>
      <c r="E33" t="s">
        <v>198</v>
      </c>
      <c r="F33" t="s">
        <v>15</v>
      </c>
      <c r="G33" t="s">
        <v>200</v>
      </c>
    </row>
    <row r="34" spans="1:7" x14ac:dyDescent="0.2">
      <c r="A34" t="s">
        <v>210</v>
      </c>
      <c r="B34" t="s">
        <v>132</v>
      </c>
      <c r="C34">
        <v>171400000</v>
      </c>
      <c r="D34" t="s">
        <v>133</v>
      </c>
      <c r="E34" t="s">
        <v>198</v>
      </c>
      <c r="F34" t="s">
        <v>15</v>
      </c>
      <c r="G34" t="s">
        <v>200</v>
      </c>
    </row>
    <row r="35" spans="1:7" x14ac:dyDescent="0.2">
      <c r="A35" t="s">
        <v>212</v>
      </c>
      <c r="B35" t="s">
        <v>33</v>
      </c>
      <c r="C35">
        <v>116000000</v>
      </c>
      <c r="D35" t="s">
        <v>13</v>
      </c>
      <c r="E35" t="s">
        <v>196</v>
      </c>
      <c r="F35" t="s">
        <v>15</v>
      </c>
      <c r="G35" t="s">
        <v>209</v>
      </c>
    </row>
    <row r="36" spans="1:7" x14ac:dyDescent="0.2">
      <c r="A36" t="s">
        <v>212</v>
      </c>
      <c r="B36" t="s">
        <v>35</v>
      </c>
      <c r="C36">
        <v>281000000</v>
      </c>
      <c r="D36" t="s">
        <v>51</v>
      </c>
      <c r="E36" t="s">
        <v>198</v>
      </c>
      <c r="F36" t="s">
        <v>15</v>
      </c>
      <c r="G36" t="s">
        <v>200</v>
      </c>
    </row>
    <row r="37" spans="1:7" x14ac:dyDescent="0.2">
      <c r="A37" t="s">
        <v>212</v>
      </c>
      <c r="B37" t="s">
        <v>132</v>
      </c>
      <c r="C37">
        <v>157600000</v>
      </c>
      <c r="D37" t="s">
        <v>133</v>
      </c>
      <c r="E37" t="s">
        <v>198</v>
      </c>
      <c r="F37" t="s">
        <v>15</v>
      </c>
      <c r="G37" t="s">
        <v>200</v>
      </c>
    </row>
    <row r="38" spans="1:7" x14ac:dyDescent="0.2">
      <c r="A38" t="s">
        <v>213</v>
      </c>
      <c r="B38" t="s">
        <v>33</v>
      </c>
      <c r="C38">
        <v>145100000</v>
      </c>
      <c r="D38" t="s">
        <v>13</v>
      </c>
      <c r="E38" t="s">
        <v>196</v>
      </c>
      <c r="F38" t="s">
        <v>15</v>
      </c>
      <c r="G38" t="s">
        <v>214</v>
      </c>
    </row>
    <row r="39" spans="1:7" x14ac:dyDescent="0.2">
      <c r="A39" t="s">
        <v>213</v>
      </c>
      <c r="B39" t="s">
        <v>35</v>
      </c>
      <c r="C39">
        <v>253000000</v>
      </c>
      <c r="D39" t="s">
        <v>51</v>
      </c>
      <c r="E39" t="s">
        <v>198</v>
      </c>
      <c r="F39" t="s">
        <v>15</v>
      </c>
      <c r="G39" t="s">
        <v>200</v>
      </c>
    </row>
    <row r="40" spans="1:7" x14ac:dyDescent="0.2">
      <c r="A40" t="s">
        <v>213</v>
      </c>
      <c r="B40" t="s">
        <v>132</v>
      </c>
      <c r="C40">
        <v>138000000</v>
      </c>
      <c r="D40" t="s">
        <v>133</v>
      </c>
      <c r="E40" t="s">
        <v>198</v>
      </c>
      <c r="F40" t="s">
        <v>15</v>
      </c>
      <c r="G40" t="s">
        <v>200</v>
      </c>
    </row>
    <row r="41" spans="1:7" x14ac:dyDescent="0.2">
      <c r="A41" t="s">
        <v>215</v>
      </c>
      <c r="B41" t="s">
        <v>33</v>
      </c>
      <c r="C41">
        <v>207200000</v>
      </c>
      <c r="D41" t="s">
        <v>13</v>
      </c>
      <c r="E41" t="s">
        <v>196</v>
      </c>
      <c r="F41" t="s">
        <v>46</v>
      </c>
      <c r="G41" t="s">
        <v>216</v>
      </c>
    </row>
    <row r="42" spans="1:7" x14ac:dyDescent="0.2">
      <c r="A42" t="s">
        <v>215</v>
      </c>
      <c r="B42" t="s">
        <v>35</v>
      </c>
      <c r="C42">
        <v>279700000</v>
      </c>
      <c r="D42" t="s">
        <v>51</v>
      </c>
      <c r="E42" t="s">
        <v>198</v>
      </c>
      <c r="F42" t="s">
        <v>15</v>
      </c>
      <c r="G42" t="s">
        <v>200</v>
      </c>
    </row>
    <row r="43" spans="1:7" x14ac:dyDescent="0.2">
      <c r="A43" t="s">
        <v>215</v>
      </c>
      <c r="B43" t="s">
        <v>132</v>
      </c>
      <c r="C43">
        <v>147200000</v>
      </c>
      <c r="D43" t="s">
        <v>133</v>
      </c>
      <c r="E43" t="s">
        <v>198</v>
      </c>
      <c r="F43" t="s">
        <v>15</v>
      </c>
      <c r="G43" t="s">
        <v>200</v>
      </c>
    </row>
    <row r="44" spans="1:7" x14ac:dyDescent="0.2">
      <c r="A44" t="s">
        <v>217</v>
      </c>
      <c r="B44" t="s">
        <v>33</v>
      </c>
      <c r="C44" t="s">
        <v>40</v>
      </c>
      <c r="D44" t="s">
        <v>13</v>
      </c>
      <c r="E44" t="s">
        <v>193</v>
      </c>
      <c r="F44" t="s">
        <v>193</v>
      </c>
      <c r="G44" t="s">
        <v>218</v>
      </c>
    </row>
    <row r="45" spans="1:7" x14ac:dyDescent="0.2">
      <c r="A45" t="s">
        <v>217</v>
      </c>
      <c r="B45" t="s">
        <v>35</v>
      </c>
      <c r="C45">
        <v>339300000</v>
      </c>
      <c r="D45" t="s">
        <v>51</v>
      </c>
      <c r="E45" t="s">
        <v>198</v>
      </c>
      <c r="F45" t="s">
        <v>15</v>
      </c>
      <c r="G45" t="s">
        <v>219</v>
      </c>
    </row>
    <row r="46" spans="1:7" x14ac:dyDescent="0.2">
      <c r="A46" t="s">
        <v>217</v>
      </c>
      <c r="B46" t="s">
        <v>132</v>
      </c>
      <c r="C46">
        <v>143400000</v>
      </c>
      <c r="D46" t="s">
        <v>133</v>
      </c>
      <c r="E46" t="s">
        <v>198</v>
      </c>
      <c r="F46" t="s">
        <v>15</v>
      </c>
      <c r="G46" t="s">
        <v>219</v>
      </c>
    </row>
    <row r="80" spans="1:1" x14ac:dyDescent="0.2">
      <c r="A80" s="4"/>
    </row>
    <row r="81" spans="1:2" x14ac:dyDescent="0.2">
      <c r="B81" s="4"/>
    </row>
    <row r="83" spans="1:2" x14ac:dyDescent="0.2">
      <c r="B83" s="4"/>
    </row>
    <row r="84" spans="1:2" x14ac:dyDescent="0.2">
      <c r="B84" s="4"/>
    </row>
    <row r="85" spans="1:2" x14ac:dyDescent="0.2">
      <c r="B85" s="4"/>
    </row>
    <row r="89" spans="1:2" x14ac:dyDescent="0.2">
      <c r="A89" t="s">
        <v>157</v>
      </c>
    </row>
    <row r="98" spans="2:2" x14ac:dyDescent="0.2">
      <c r="B9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F86A-D72D-BB47-9A9D-AE4D8FD6240D}">
  <dimension ref="A1:D50"/>
  <sheetViews>
    <sheetView workbookViewId="0">
      <selection activeCell="A53" sqref="A53"/>
    </sheetView>
  </sheetViews>
  <sheetFormatPr baseColWidth="10" defaultRowHeight="16" x14ac:dyDescent="0.2"/>
  <cols>
    <col min="1" max="1" width="19" bestFit="1" customWidth="1"/>
    <col min="2" max="2" width="20.33203125" bestFit="1" customWidth="1"/>
    <col min="3" max="3" width="12.5" bestFit="1" customWidth="1"/>
  </cols>
  <sheetData>
    <row r="1" spans="1:4" s="12" customFormat="1" x14ac:dyDescent="0.2">
      <c r="A1" s="12" t="s">
        <v>97</v>
      </c>
      <c r="B1" s="12" t="s">
        <v>59</v>
      </c>
      <c r="D1" s="12" t="s">
        <v>71</v>
      </c>
    </row>
    <row r="2" spans="1:4" x14ac:dyDescent="0.2">
      <c r="A2" t="s">
        <v>58</v>
      </c>
      <c r="B2">
        <f>SLOPE(nflx_5yr_monthly!G3:G60, SP500_fred_5yr!C3:C60)</f>
        <v>1.5262505403502735</v>
      </c>
      <c r="D2" t="s">
        <v>73</v>
      </c>
    </row>
    <row r="3" spans="1:4" x14ac:dyDescent="0.2">
      <c r="A3" t="s">
        <v>61</v>
      </c>
      <c r="B3">
        <f>INTERCEPT(nflx_5yr_monthly!G3:G60, SP500_fred_5yr!C3:C60)</f>
        <v>-3.9563143783931005E-3</v>
      </c>
      <c r="D3" t="s">
        <v>73</v>
      </c>
    </row>
    <row r="4" spans="1:4" x14ac:dyDescent="0.2">
      <c r="A4" t="s">
        <v>60</v>
      </c>
      <c r="B4">
        <f>RSQ(nflx_5yr_monthly!G2:G60,SP500_fred_5yr!C2:C60)</f>
        <v>0.28419367551987007</v>
      </c>
      <c r="D4" t="s">
        <v>73</v>
      </c>
    </row>
    <row r="5" spans="1:4" x14ac:dyDescent="0.2">
      <c r="A5" t="s">
        <v>62</v>
      </c>
      <c r="B5">
        <f>CORREL(nflx_5yr_monthly!G2:G60,SP500_fred_5yr!C2:C60)</f>
        <v>0.53309818562800437</v>
      </c>
      <c r="D5" t="s">
        <v>73</v>
      </c>
    </row>
    <row r="7" spans="1:4" x14ac:dyDescent="0.2">
      <c r="A7" t="s">
        <v>70</v>
      </c>
      <c r="B7" s="6">
        <v>4.65E-2</v>
      </c>
      <c r="D7" t="s">
        <v>72</v>
      </c>
    </row>
    <row r="8" spans="1:4" x14ac:dyDescent="0.2">
      <c r="A8" t="s">
        <v>74</v>
      </c>
      <c r="B8" s="6">
        <v>4.2299999999999997E-2</v>
      </c>
      <c r="D8" t="s">
        <v>90</v>
      </c>
    </row>
    <row r="10" spans="1:4" x14ac:dyDescent="0.2">
      <c r="A10" t="s">
        <v>55</v>
      </c>
      <c r="B10" s="6">
        <f>B7+(B2*B8)</f>
        <v>0.11106039785681657</v>
      </c>
    </row>
    <row r="12" spans="1:4" x14ac:dyDescent="0.2">
      <c r="A12" t="s">
        <v>93</v>
      </c>
      <c r="B12" s="10">
        <v>4163939676</v>
      </c>
      <c r="D12" t="s">
        <v>94</v>
      </c>
    </row>
    <row r="13" spans="1:4" x14ac:dyDescent="0.2">
      <c r="A13" t="s">
        <v>95</v>
      </c>
      <c r="B13" s="4">
        <v>74.14</v>
      </c>
      <c r="D13" t="s">
        <v>96</v>
      </c>
    </row>
    <row r="15" spans="1:4" x14ac:dyDescent="0.2">
      <c r="A15" t="s">
        <v>53</v>
      </c>
      <c r="B15" s="4">
        <f>B12*B13</f>
        <v>308714487578.64001</v>
      </c>
      <c r="D15" t="s">
        <v>98</v>
      </c>
    </row>
    <row r="17" spans="1:4" x14ac:dyDescent="0.2">
      <c r="A17" t="s">
        <v>54</v>
      </c>
      <c r="B17" s="2">
        <v>14309000000</v>
      </c>
      <c r="D17" t="s">
        <v>94</v>
      </c>
    </row>
    <row r="19" spans="1:4" x14ac:dyDescent="0.2">
      <c r="A19" t="s">
        <v>56</v>
      </c>
      <c r="B19" s="3">
        <v>0.18</v>
      </c>
      <c r="D19" t="s">
        <v>94</v>
      </c>
    </row>
    <row r="22" spans="1:4" x14ac:dyDescent="0.2">
      <c r="A22" t="s">
        <v>100</v>
      </c>
      <c r="B22" t="s">
        <v>99</v>
      </c>
      <c r="C22" t="s">
        <v>101</v>
      </c>
      <c r="D22" t="s">
        <v>94</v>
      </c>
    </row>
    <row r="23" spans="1:4" x14ac:dyDescent="0.2">
      <c r="A23" t="s">
        <v>102</v>
      </c>
      <c r="B23" s="6">
        <v>4.3749999999999997E-2</v>
      </c>
      <c r="C23">
        <v>1000</v>
      </c>
      <c r="D23" t="s">
        <v>94</v>
      </c>
    </row>
    <row r="24" spans="1:4" x14ac:dyDescent="0.2">
      <c r="A24" s="6" t="s">
        <v>103</v>
      </c>
      <c r="B24" s="6">
        <v>3.6249999999999998E-2</v>
      </c>
      <c r="C24" s="6">
        <v>1486</v>
      </c>
      <c r="D24" t="s">
        <v>94</v>
      </c>
    </row>
    <row r="25" spans="1:4" x14ac:dyDescent="0.2">
      <c r="A25" s="6" t="s">
        <v>104</v>
      </c>
      <c r="B25" s="6">
        <v>4.8750000000000002E-2</v>
      </c>
      <c r="C25" s="6">
        <v>1600</v>
      </c>
      <c r="D25" t="s">
        <v>94</v>
      </c>
    </row>
    <row r="26" spans="1:4" x14ac:dyDescent="0.2">
      <c r="A26" t="s">
        <v>105</v>
      </c>
      <c r="B26" s="6">
        <v>5.8749999999999997E-2</v>
      </c>
      <c r="C26" s="6">
        <v>1900</v>
      </c>
      <c r="D26" t="s">
        <v>94</v>
      </c>
    </row>
    <row r="27" spans="1:4" x14ac:dyDescent="0.2">
      <c r="A27" t="s">
        <v>106</v>
      </c>
      <c r="B27" s="6">
        <v>4.6249999999999999E-2</v>
      </c>
      <c r="C27" s="6">
        <v>1257</v>
      </c>
      <c r="D27" t="s">
        <v>94</v>
      </c>
    </row>
    <row r="28" spans="1:4" x14ac:dyDescent="0.2">
      <c r="A28" t="s">
        <v>107</v>
      </c>
      <c r="B28" s="6">
        <v>6.3750000000000001E-2</v>
      </c>
      <c r="C28">
        <v>800</v>
      </c>
      <c r="D28" t="s">
        <v>94</v>
      </c>
    </row>
    <row r="29" spans="1:4" x14ac:dyDescent="0.2">
      <c r="A29" t="s">
        <v>108</v>
      </c>
      <c r="B29" s="6">
        <v>3.875E-2</v>
      </c>
      <c r="C29">
        <v>1372</v>
      </c>
      <c r="D29" t="s">
        <v>94</v>
      </c>
    </row>
    <row r="30" spans="1:4" x14ac:dyDescent="0.2">
      <c r="A30" t="s">
        <v>109</v>
      </c>
      <c r="B30" s="6">
        <v>5.3749999999999999E-2</v>
      </c>
      <c r="C30">
        <v>900</v>
      </c>
      <c r="D30" t="s">
        <v>94</v>
      </c>
    </row>
    <row r="31" spans="1:4" x14ac:dyDescent="0.2">
      <c r="A31" t="s">
        <v>110</v>
      </c>
      <c r="B31" s="6">
        <v>3.6249999999999998E-2</v>
      </c>
      <c r="C31">
        <v>1257</v>
      </c>
      <c r="D31" t="s">
        <v>94</v>
      </c>
    </row>
    <row r="32" spans="1:4" x14ac:dyDescent="0.2">
      <c r="A32" t="s">
        <v>111</v>
      </c>
      <c r="B32" s="6">
        <v>4.8750000000000002E-2</v>
      </c>
      <c r="C32">
        <v>1000</v>
      </c>
      <c r="D32" t="s">
        <v>94</v>
      </c>
    </row>
    <row r="33" spans="1:4" x14ac:dyDescent="0.2">
      <c r="A33" t="s">
        <v>112</v>
      </c>
      <c r="B33" s="6">
        <v>4.9000000000000002E-2</v>
      </c>
      <c r="C33">
        <v>1000</v>
      </c>
      <c r="D33" t="s">
        <v>94</v>
      </c>
    </row>
    <row r="34" spans="1:4" x14ac:dyDescent="0.2">
      <c r="A34" t="s">
        <v>113</v>
      </c>
      <c r="B34" s="6">
        <v>5.3999999999999999E-2</v>
      </c>
      <c r="C34">
        <v>800</v>
      </c>
      <c r="D34" t="s">
        <v>94</v>
      </c>
    </row>
    <row r="37" spans="1:4" x14ac:dyDescent="0.2">
      <c r="A37" t="s">
        <v>114</v>
      </c>
      <c r="B37" s="11">
        <f>SUMPRODUCT(B23:B34,C23:C34)/SUM(C23:C34)</f>
        <v>4.7622808238241027E-2</v>
      </c>
      <c r="D37" t="s">
        <v>116</v>
      </c>
    </row>
    <row r="38" spans="1:4" x14ac:dyDescent="0.2">
      <c r="A38" t="s">
        <v>115</v>
      </c>
      <c r="B38" s="11">
        <f>B37*(1-0.18)</f>
        <v>3.9050702755357644E-2</v>
      </c>
      <c r="D38" t="s">
        <v>116</v>
      </c>
    </row>
    <row r="42" spans="1:4" x14ac:dyDescent="0.2">
      <c r="A42" t="s">
        <v>52</v>
      </c>
      <c r="B42" s="11">
        <f>(B15/(B15+B17))*B10+(B17/(B15+B17))*B38</f>
        <v>0.10787057802380541</v>
      </c>
    </row>
    <row r="44" spans="1:4" x14ac:dyDescent="0.2">
      <c r="A44" t="s">
        <v>117</v>
      </c>
      <c r="B44" s="11">
        <f>B15/(B15+B17)</f>
        <v>0.95570291155216236</v>
      </c>
      <c r="D44" t="s">
        <v>119</v>
      </c>
    </row>
    <row r="45" spans="1:4" x14ac:dyDescent="0.2">
      <c r="A45" t="s">
        <v>118</v>
      </c>
      <c r="B45" s="11">
        <f>B17/(B15+B17)</f>
        <v>4.429708844783764E-2</v>
      </c>
      <c r="D45" t="s">
        <v>119</v>
      </c>
    </row>
    <row r="47" spans="1:4" x14ac:dyDescent="0.2">
      <c r="B47" s="9"/>
    </row>
    <row r="48" spans="1:4" x14ac:dyDescent="0.2">
      <c r="A48" t="s">
        <v>151</v>
      </c>
      <c r="B48">
        <f>(Assumptions!C12/Assumptions!C13)/12</f>
        <v>11.585384615384614</v>
      </c>
      <c r="D48" t="s">
        <v>154</v>
      </c>
    </row>
    <row r="49" spans="1:4" x14ac:dyDescent="0.2">
      <c r="A49" t="s">
        <v>152</v>
      </c>
      <c r="B49">
        <f>Assumptions!C14/(Assumptions!C13*6)</f>
        <v>49.230769230769234</v>
      </c>
      <c r="D49" t="s">
        <v>155</v>
      </c>
    </row>
    <row r="50" spans="1:4" x14ac:dyDescent="0.2">
      <c r="A50" t="s">
        <v>153</v>
      </c>
      <c r="B50">
        <f>B48/B49</f>
        <v>0.23532812499999994</v>
      </c>
      <c r="D50"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033B-0C34-D845-ABEB-C8FE3CDB0DB0}">
  <dimension ref="A1:G62"/>
  <sheetViews>
    <sheetView workbookViewId="0">
      <selection activeCell="G61" sqref="G61"/>
    </sheetView>
  </sheetViews>
  <sheetFormatPr baseColWidth="10" defaultRowHeight="16" x14ac:dyDescent="0.2"/>
  <sheetData>
    <row r="1" spans="1:7" x14ac:dyDescent="0.2">
      <c r="A1" t="s">
        <v>66</v>
      </c>
      <c r="B1" t="s">
        <v>67</v>
      </c>
      <c r="C1" t="s">
        <v>15</v>
      </c>
      <c r="D1" t="s">
        <v>16</v>
      </c>
      <c r="E1" t="s">
        <v>68</v>
      </c>
      <c r="F1" t="s">
        <v>69</v>
      </c>
      <c r="G1" t="s">
        <v>65</v>
      </c>
    </row>
    <row r="2" spans="1:7" x14ac:dyDescent="0.2">
      <c r="A2" s="7">
        <v>44439</v>
      </c>
      <c r="B2">
        <v>51.9</v>
      </c>
      <c r="C2">
        <v>56.948</v>
      </c>
      <c r="D2">
        <v>50.536999999999999</v>
      </c>
      <c r="E2">
        <v>56.918999999999997</v>
      </c>
      <c r="F2">
        <v>547487750</v>
      </c>
    </row>
    <row r="3" spans="1:7" x14ac:dyDescent="0.2">
      <c r="A3" s="7">
        <v>44469</v>
      </c>
      <c r="B3">
        <v>56.9</v>
      </c>
      <c r="C3">
        <v>61.9</v>
      </c>
      <c r="D3">
        <v>56.808</v>
      </c>
      <c r="E3">
        <v>61.033999999999999</v>
      </c>
      <c r="F3">
        <v>823382960</v>
      </c>
      <c r="G3">
        <f t="shared" ref="G3:G60" si="0">(E4-E3)/E3</f>
        <v>0.13102533014385437</v>
      </c>
    </row>
    <row r="4" spans="1:7" x14ac:dyDescent="0.2">
      <c r="A4" s="7">
        <v>44500</v>
      </c>
      <c r="B4">
        <v>60.423999999999999</v>
      </c>
      <c r="C4">
        <v>69.096999999999994</v>
      </c>
      <c r="D4">
        <v>59.468000000000004</v>
      </c>
      <c r="E4">
        <v>69.031000000000006</v>
      </c>
      <c r="F4">
        <v>985816200</v>
      </c>
      <c r="G4">
        <f t="shared" si="0"/>
        <v>-7.0127913546088105E-2</v>
      </c>
    </row>
    <row r="5" spans="1:7" x14ac:dyDescent="0.2">
      <c r="A5" s="7">
        <v>44530</v>
      </c>
      <c r="B5">
        <v>68.906000000000006</v>
      </c>
      <c r="C5">
        <v>70.0989</v>
      </c>
      <c r="D5">
        <v>64.001000000000005</v>
      </c>
      <c r="E5">
        <v>64.19</v>
      </c>
      <c r="F5">
        <v>645350910</v>
      </c>
      <c r="G5">
        <f t="shared" si="0"/>
        <v>-6.1473749805265591E-2</v>
      </c>
    </row>
    <row r="6" spans="1:7" x14ac:dyDescent="0.2">
      <c r="A6" s="7">
        <v>44561</v>
      </c>
      <c r="B6">
        <v>64.947999999999993</v>
      </c>
      <c r="C6">
        <v>65.451999999999998</v>
      </c>
      <c r="D6">
        <v>58.173999999999999</v>
      </c>
      <c r="E6">
        <v>60.244</v>
      </c>
      <c r="F6">
        <v>600388250</v>
      </c>
      <c r="G6">
        <f t="shared" si="0"/>
        <v>-0.29098333443994423</v>
      </c>
    </row>
    <row r="7" spans="1:7" x14ac:dyDescent="0.2">
      <c r="A7" s="7">
        <v>44592</v>
      </c>
      <c r="B7">
        <v>60.561</v>
      </c>
      <c r="C7">
        <v>60.999000000000002</v>
      </c>
      <c r="D7">
        <v>35.146000000000001</v>
      </c>
      <c r="E7">
        <v>42.713999999999999</v>
      </c>
      <c r="F7">
        <v>2417094530</v>
      </c>
      <c r="G7">
        <f t="shared" si="0"/>
        <v>-7.6368403802032137E-2</v>
      </c>
    </row>
    <row r="8" spans="1:7" x14ac:dyDescent="0.2">
      <c r="A8" s="7">
        <v>44620</v>
      </c>
      <c r="B8">
        <v>43.295999999999999</v>
      </c>
      <c r="C8">
        <v>45.847999999999999</v>
      </c>
      <c r="D8">
        <v>35.472000000000001</v>
      </c>
      <c r="E8">
        <v>39.451999999999998</v>
      </c>
      <c r="F8">
        <v>1510141470</v>
      </c>
      <c r="G8">
        <f t="shared" si="0"/>
        <v>-5.0517084051505505E-2</v>
      </c>
    </row>
    <row r="9" spans="1:7" x14ac:dyDescent="0.2">
      <c r="A9" s="7">
        <v>44651</v>
      </c>
      <c r="B9">
        <v>39.159999999999997</v>
      </c>
      <c r="C9">
        <v>39.65</v>
      </c>
      <c r="D9">
        <v>32.981999999999999</v>
      </c>
      <c r="E9">
        <v>37.459000000000003</v>
      </c>
      <c r="F9">
        <v>1194970510</v>
      </c>
      <c r="G9">
        <f t="shared" si="0"/>
        <v>-0.49181772070797408</v>
      </c>
    </row>
    <row r="10" spans="1:7" x14ac:dyDescent="0.2">
      <c r="A10" s="7">
        <v>44681</v>
      </c>
      <c r="B10">
        <v>37.68</v>
      </c>
      <c r="C10">
        <v>39.601999999999997</v>
      </c>
      <c r="D10">
        <v>18.559999999999999</v>
      </c>
      <c r="E10">
        <v>19.036000000000001</v>
      </c>
      <c r="F10">
        <v>4033328160</v>
      </c>
      <c r="G10">
        <f t="shared" si="0"/>
        <v>3.7192687539398944E-2</v>
      </c>
    </row>
    <row r="11" spans="1:7" x14ac:dyDescent="0.2">
      <c r="A11" s="7">
        <v>44712</v>
      </c>
      <c r="B11">
        <v>19.170999999999999</v>
      </c>
      <c r="C11">
        <v>20.437999999999999</v>
      </c>
      <c r="D11">
        <v>16.271000000000001</v>
      </c>
      <c r="E11">
        <v>19.744</v>
      </c>
      <c r="F11">
        <v>2516159250</v>
      </c>
      <c r="G11">
        <f t="shared" si="0"/>
        <v>-0.11431320907617512</v>
      </c>
    </row>
    <row r="12" spans="1:7" x14ac:dyDescent="0.2">
      <c r="A12" s="7">
        <v>44742</v>
      </c>
      <c r="B12">
        <v>19.87</v>
      </c>
      <c r="C12">
        <v>20.738</v>
      </c>
      <c r="D12">
        <v>16.428000000000001</v>
      </c>
      <c r="E12">
        <v>17.486999999999998</v>
      </c>
      <c r="F12">
        <v>1925961380</v>
      </c>
      <c r="G12">
        <f t="shared" si="0"/>
        <v>0.28609824441013326</v>
      </c>
    </row>
    <row r="13" spans="1:7" x14ac:dyDescent="0.2">
      <c r="A13" s="7">
        <v>44773</v>
      </c>
      <c r="B13">
        <v>17.649000000000001</v>
      </c>
      <c r="C13">
        <v>23.074999999999999</v>
      </c>
      <c r="D13">
        <v>16.970199999999998</v>
      </c>
      <c r="E13">
        <v>22.49</v>
      </c>
      <c r="F13">
        <v>2700981560</v>
      </c>
      <c r="G13">
        <f t="shared" si="0"/>
        <v>-5.9582036460647751E-3</v>
      </c>
    </row>
    <row r="14" spans="1:7" x14ac:dyDescent="0.2">
      <c r="A14" s="7">
        <v>44804</v>
      </c>
      <c r="B14">
        <v>22.3095</v>
      </c>
      <c r="C14">
        <v>25.199000000000002</v>
      </c>
      <c r="D14">
        <v>21.873999999999999</v>
      </c>
      <c r="E14">
        <v>22.356000000000002</v>
      </c>
      <c r="F14">
        <v>1522738240</v>
      </c>
      <c r="G14">
        <f t="shared" si="0"/>
        <v>5.3140096618357432E-2</v>
      </c>
    </row>
    <row r="15" spans="1:7" x14ac:dyDescent="0.2">
      <c r="A15" s="7">
        <v>44834</v>
      </c>
      <c r="B15">
        <v>22.071999999999999</v>
      </c>
      <c r="C15">
        <v>25.048999999999999</v>
      </c>
      <c r="D15">
        <v>21.469000000000001</v>
      </c>
      <c r="E15">
        <v>23.544</v>
      </c>
      <c r="F15">
        <v>2339233270</v>
      </c>
      <c r="G15">
        <f t="shared" si="0"/>
        <v>0.2397213727488956</v>
      </c>
    </row>
    <row r="16" spans="1:7" x14ac:dyDescent="0.2">
      <c r="A16" s="7">
        <v>44865</v>
      </c>
      <c r="B16">
        <v>23.785</v>
      </c>
      <c r="C16">
        <v>30.562999999999999</v>
      </c>
      <c r="D16">
        <v>21.172999999999998</v>
      </c>
      <c r="E16">
        <v>29.187999999999999</v>
      </c>
      <c r="F16">
        <v>3352992320</v>
      </c>
      <c r="G16">
        <f t="shared" si="0"/>
        <v>4.6765794161984446E-2</v>
      </c>
    </row>
    <row r="17" spans="1:7" x14ac:dyDescent="0.2">
      <c r="A17" s="7">
        <v>44895</v>
      </c>
      <c r="B17">
        <v>29.617000000000001</v>
      </c>
      <c r="C17">
        <v>31.271000000000001</v>
      </c>
      <c r="D17">
        <v>25.209</v>
      </c>
      <c r="E17">
        <v>30.553000000000001</v>
      </c>
      <c r="F17">
        <v>1856819220</v>
      </c>
      <c r="G17">
        <f t="shared" si="0"/>
        <v>-3.4857460805812888E-2</v>
      </c>
    </row>
    <row r="18" spans="1:7" x14ac:dyDescent="0.2">
      <c r="A18" s="7">
        <v>44926</v>
      </c>
      <c r="B18">
        <v>30.399000000000001</v>
      </c>
      <c r="C18">
        <v>33.272399999999998</v>
      </c>
      <c r="D18">
        <v>27.341000000000001</v>
      </c>
      <c r="E18">
        <v>29.488</v>
      </c>
      <c r="F18">
        <v>1930809580</v>
      </c>
      <c r="G18">
        <f t="shared" si="0"/>
        <v>0.20001356483993502</v>
      </c>
    </row>
    <row r="19" spans="1:7" x14ac:dyDescent="0.2">
      <c r="A19" s="7">
        <v>44957</v>
      </c>
      <c r="B19">
        <v>29.806000000000001</v>
      </c>
      <c r="C19">
        <v>36.902000000000001</v>
      </c>
      <c r="D19">
        <v>28.87</v>
      </c>
      <c r="E19">
        <v>35.386000000000003</v>
      </c>
      <c r="F19">
        <v>2064175510</v>
      </c>
      <c r="G19">
        <f t="shared" si="0"/>
        <v>-8.9668230373594116E-2</v>
      </c>
    </row>
    <row r="20" spans="1:7" x14ac:dyDescent="0.2">
      <c r="A20" s="7">
        <v>44985</v>
      </c>
      <c r="B20">
        <v>35.386000000000003</v>
      </c>
      <c r="C20">
        <v>37.942999999999998</v>
      </c>
      <c r="D20">
        <v>31.43</v>
      </c>
      <c r="E20">
        <v>32.213000000000001</v>
      </c>
      <c r="F20">
        <v>1233780030</v>
      </c>
      <c r="G20">
        <f t="shared" si="0"/>
        <v>7.2486263309843882E-2</v>
      </c>
    </row>
    <row r="21" spans="1:7" x14ac:dyDescent="0.2">
      <c r="A21" s="7">
        <v>45016</v>
      </c>
      <c r="B21">
        <v>32.155000000000001</v>
      </c>
      <c r="C21">
        <v>34.584000000000003</v>
      </c>
      <c r="D21">
        <v>28.533000000000001</v>
      </c>
      <c r="E21">
        <v>34.548000000000002</v>
      </c>
      <c r="F21">
        <v>1575865040</v>
      </c>
      <c r="G21">
        <f t="shared" si="0"/>
        <v>-4.5009841380108821E-2</v>
      </c>
    </row>
    <row r="22" spans="1:7" x14ac:dyDescent="0.2">
      <c r="A22" s="7">
        <v>45046</v>
      </c>
      <c r="B22">
        <v>34.183</v>
      </c>
      <c r="C22">
        <v>34.979999999999997</v>
      </c>
      <c r="D22">
        <v>31.61</v>
      </c>
      <c r="E22">
        <v>32.993000000000002</v>
      </c>
      <c r="F22">
        <v>1279911290</v>
      </c>
      <c r="G22">
        <f t="shared" si="0"/>
        <v>0.1979207710726518</v>
      </c>
    </row>
    <row r="23" spans="1:7" x14ac:dyDescent="0.2">
      <c r="A23" s="7">
        <v>45077</v>
      </c>
      <c r="B23">
        <v>32.9435</v>
      </c>
      <c r="C23">
        <v>40.511000000000003</v>
      </c>
      <c r="D23">
        <v>31.562000000000001</v>
      </c>
      <c r="E23">
        <v>39.523000000000003</v>
      </c>
      <c r="F23">
        <v>1454876500</v>
      </c>
      <c r="G23">
        <f t="shared" si="0"/>
        <v>0.11451559851225858</v>
      </c>
    </row>
    <row r="24" spans="1:7" x14ac:dyDescent="0.2">
      <c r="A24" s="7">
        <v>45107</v>
      </c>
      <c r="B24">
        <v>39.741</v>
      </c>
      <c r="C24">
        <v>44.865000000000002</v>
      </c>
      <c r="D24">
        <v>39.308</v>
      </c>
      <c r="E24">
        <v>44.048999999999999</v>
      </c>
      <c r="F24">
        <v>1472805020</v>
      </c>
      <c r="G24">
        <f t="shared" si="0"/>
        <v>-3.4507026266203779E-3</v>
      </c>
    </row>
    <row r="25" spans="1:7" x14ac:dyDescent="0.2">
      <c r="A25" s="7">
        <v>45138</v>
      </c>
      <c r="B25">
        <v>43.975999999999999</v>
      </c>
      <c r="C25">
        <v>48.5</v>
      </c>
      <c r="D25">
        <v>41.188000000000002</v>
      </c>
      <c r="E25">
        <v>43.896999999999998</v>
      </c>
      <c r="F25">
        <v>1688158600</v>
      </c>
      <c r="G25">
        <f t="shared" si="0"/>
        <v>-1.2050937421691605E-2</v>
      </c>
    </row>
    <row r="26" spans="1:7" x14ac:dyDescent="0.2">
      <c r="A26" s="7">
        <v>45169</v>
      </c>
      <c r="B26">
        <v>43.737000000000002</v>
      </c>
      <c r="C26">
        <v>44.524999999999999</v>
      </c>
      <c r="D26">
        <v>39.814999999999998</v>
      </c>
      <c r="E26">
        <v>43.368000000000002</v>
      </c>
      <c r="F26">
        <v>1073457160</v>
      </c>
      <c r="G26">
        <f t="shared" si="0"/>
        <v>-0.12931193506733085</v>
      </c>
    </row>
    <row r="27" spans="1:7" x14ac:dyDescent="0.2">
      <c r="A27" s="7">
        <v>45199</v>
      </c>
      <c r="B27">
        <v>43.772500000000001</v>
      </c>
      <c r="C27">
        <v>45.344999999999999</v>
      </c>
      <c r="D27">
        <v>37.11</v>
      </c>
      <c r="E27">
        <v>37.76</v>
      </c>
      <c r="F27">
        <v>1003181110</v>
      </c>
      <c r="G27">
        <f t="shared" si="0"/>
        <v>9.0280720338983031E-2</v>
      </c>
    </row>
    <row r="28" spans="1:7" x14ac:dyDescent="0.2">
      <c r="A28" s="7">
        <v>45230</v>
      </c>
      <c r="B28">
        <v>37.747999999999998</v>
      </c>
      <c r="C28">
        <v>41.884</v>
      </c>
      <c r="D28">
        <v>34.472999999999999</v>
      </c>
      <c r="E28">
        <v>41.168999999999997</v>
      </c>
      <c r="F28">
        <v>1640446160</v>
      </c>
      <c r="G28">
        <f t="shared" si="0"/>
        <v>0.1512788748815857</v>
      </c>
    </row>
    <row r="29" spans="1:7" x14ac:dyDescent="0.2">
      <c r="A29" s="7">
        <v>45260</v>
      </c>
      <c r="B29">
        <v>41.476999999999997</v>
      </c>
      <c r="C29">
        <v>48.27</v>
      </c>
      <c r="D29">
        <v>41.417999999999999</v>
      </c>
      <c r="E29">
        <v>47.396999999999998</v>
      </c>
      <c r="F29">
        <v>717539940</v>
      </c>
      <c r="G29">
        <f t="shared" si="0"/>
        <v>2.7238010844568304E-2</v>
      </c>
    </row>
    <row r="30" spans="1:7" x14ac:dyDescent="0.2">
      <c r="A30" s="7">
        <v>45291</v>
      </c>
      <c r="B30">
        <v>47.317</v>
      </c>
      <c r="C30">
        <v>50.088999999999999</v>
      </c>
      <c r="D30">
        <v>44.573</v>
      </c>
      <c r="E30">
        <v>48.688000000000002</v>
      </c>
      <c r="F30">
        <v>804228170</v>
      </c>
      <c r="G30">
        <f t="shared" si="0"/>
        <v>0.15862224778179426</v>
      </c>
    </row>
    <row r="31" spans="1:7" x14ac:dyDescent="0.2">
      <c r="A31" s="7">
        <v>45322</v>
      </c>
      <c r="B31">
        <v>48.3185</v>
      </c>
      <c r="C31">
        <v>57.963999999999999</v>
      </c>
      <c r="D31">
        <v>46.186</v>
      </c>
      <c r="E31">
        <v>56.411000000000001</v>
      </c>
      <c r="F31">
        <v>1459215630</v>
      </c>
      <c r="G31">
        <f t="shared" si="0"/>
        <v>6.8798638563400752E-2</v>
      </c>
    </row>
    <row r="32" spans="1:7" x14ac:dyDescent="0.2">
      <c r="A32" s="7">
        <v>45351</v>
      </c>
      <c r="B32">
        <v>56.701999999999998</v>
      </c>
      <c r="C32">
        <v>60.536000000000001</v>
      </c>
      <c r="D32">
        <v>54.9</v>
      </c>
      <c r="E32">
        <v>60.292000000000002</v>
      </c>
      <c r="F32">
        <v>716570130</v>
      </c>
      <c r="G32">
        <f t="shared" si="0"/>
        <v>7.314403237577048E-3</v>
      </c>
    </row>
    <row r="33" spans="1:7" x14ac:dyDescent="0.2">
      <c r="A33" s="7">
        <v>45382</v>
      </c>
      <c r="B33">
        <v>59.981000000000002</v>
      </c>
      <c r="C33">
        <v>63.439</v>
      </c>
      <c r="D33">
        <v>59.2</v>
      </c>
      <c r="E33">
        <v>60.732999999999997</v>
      </c>
      <c r="F33">
        <v>601510720</v>
      </c>
      <c r="G33">
        <f t="shared" si="0"/>
        <v>-9.3342993100950011E-2</v>
      </c>
    </row>
    <row r="34" spans="1:7" x14ac:dyDescent="0.2">
      <c r="A34" s="7">
        <v>45412</v>
      </c>
      <c r="B34">
        <v>60.8</v>
      </c>
      <c r="C34">
        <v>63.9</v>
      </c>
      <c r="D34">
        <v>54.201000000000001</v>
      </c>
      <c r="E34">
        <v>55.064</v>
      </c>
      <c r="F34">
        <v>940068040</v>
      </c>
      <c r="G34">
        <f t="shared" si="0"/>
        <v>0.16522591893069893</v>
      </c>
    </row>
    <row r="35" spans="1:7" x14ac:dyDescent="0.2">
      <c r="A35" s="7">
        <v>45443</v>
      </c>
      <c r="B35">
        <v>54.783999999999999</v>
      </c>
      <c r="C35">
        <v>66.424999999999997</v>
      </c>
      <c r="D35">
        <v>54.424999999999997</v>
      </c>
      <c r="E35">
        <v>64.162000000000006</v>
      </c>
      <c r="F35">
        <v>690036430</v>
      </c>
      <c r="G35">
        <f t="shared" si="0"/>
        <v>5.1837536236401499E-2</v>
      </c>
    </row>
    <row r="36" spans="1:7" x14ac:dyDescent="0.2">
      <c r="A36" s="7">
        <v>45473</v>
      </c>
      <c r="B36">
        <v>64.521500000000003</v>
      </c>
      <c r="C36">
        <v>68.988</v>
      </c>
      <c r="D36">
        <v>62.643999999999998</v>
      </c>
      <c r="E36">
        <v>67.488</v>
      </c>
      <c r="F36">
        <v>542721180</v>
      </c>
      <c r="G36">
        <f t="shared" si="0"/>
        <v>-6.8945590327169251E-2</v>
      </c>
    </row>
    <row r="37" spans="1:7" x14ac:dyDescent="0.2">
      <c r="A37" s="7">
        <v>45504</v>
      </c>
      <c r="B37">
        <v>67.489000000000004</v>
      </c>
      <c r="C37">
        <v>69.748999999999995</v>
      </c>
      <c r="D37">
        <v>61.7</v>
      </c>
      <c r="E37">
        <v>62.835000000000001</v>
      </c>
      <c r="F37">
        <v>809173550</v>
      </c>
      <c r="G37">
        <f t="shared" si="0"/>
        <v>0.11617728972706301</v>
      </c>
    </row>
    <row r="38" spans="1:7" x14ac:dyDescent="0.2">
      <c r="A38" s="7">
        <v>45535</v>
      </c>
      <c r="B38">
        <v>62.924999999999997</v>
      </c>
      <c r="C38">
        <v>71.132999999999996</v>
      </c>
      <c r="D38">
        <v>58.704000000000001</v>
      </c>
      <c r="E38">
        <v>70.135000000000005</v>
      </c>
      <c r="F38">
        <v>673176900</v>
      </c>
      <c r="G38">
        <f t="shared" si="0"/>
        <v>1.1292507307335874E-2</v>
      </c>
    </row>
    <row r="39" spans="1:7" x14ac:dyDescent="0.2">
      <c r="A39" s="7">
        <v>45565</v>
      </c>
      <c r="B39">
        <v>70.010000000000005</v>
      </c>
      <c r="C39">
        <v>72.525999999999996</v>
      </c>
      <c r="D39">
        <v>66.08</v>
      </c>
      <c r="E39">
        <v>70.927000000000007</v>
      </c>
      <c r="F39">
        <v>531100350</v>
      </c>
      <c r="G39">
        <f t="shared" si="0"/>
        <v>6.5926938965414961E-2</v>
      </c>
    </row>
    <row r="40" spans="1:7" x14ac:dyDescent="0.2">
      <c r="A40" s="7">
        <v>45596</v>
      </c>
      <c r="B40">
        <v>71.364000000000004</v>
      </c>
      <c r="C40">
        <v>77.3</v>
      </c>
      <c r="D40">
        <v>67.787999999999997</v>
      </c>
      <c r="E40">
        <v>75.602999999999994</v>
      </c>
      <c r="F40">
        <v>853378420</v>
      </c>
      <c r="G40">
        <f t="shared" si="0"/>
        <v>0.17298255360237033</v>
      </c>
    </row>
    <row r="41" spans="1:7" x14ac:dyDescent="0.2">
      <c r="A41" s="7">
        <v>45626</v>
      </c>
      <c r="B41">
        <v>75.347999999999999</v>
      </c>
      <c r="C41">
        <v>90.8</v>
      </c>
      <c r="D41">
        <v>74.777000000000001</v>
      </c>
      <c r="E41">
        <v>88.680999999999997</v>
      </c>
      <c r="F41">
        <v>641644770</v>
      </c>
      <c r="G41">
        <f t="shared" si="0"/>
        <v>5.0856440500220753E-3</v>
      </c>
    </row>
    <row r="42" spans="1:7" x14ac:dyDescent="0.2">
      <c r="A42" s="7">
        <v>45657</v>
      </c>
      <c r="B42">
        <v>88.751000000000005</v>
      </c>
      <c r="C42">
        <v>94.174999999999997</v>
      </c>
      <c r="D42">
        <v>88.412000000000006</v>
      </c>
      <c r="E42">
        <v>89.132000000000005</v>
      </c>
      <c r="F42">
        <v>572089770</v>
      </c>
      <c r="G42">
        <f t="shared" si="0"/>
        <v>9.5857828838127684E-2</v>
      </c>
    </row>
    <row r="43" spans="1:7" x14ac:dyDescent="0.2">
      <c r="A43" s="7">
        <v>45688</v>
      </c>
      <c r="B43">
        <v>89.55</v>
      </c>
      <c r="C43">
        <v>99.9</v>
      </c>
      <c r="D43">
        <v>82.351900000000001</v>
      </c>
      <c r="E43">
        <v>97.676000000000002</v>
      </c>
      <c r="F43">
        <v>903466330</v>
      </c>
      <c r="G43">
        <f t="shared" si="0"/>
        <v>3.8904132028338124E-3</v>
      </c>
    </row>
    <row r="44" spans="1:7" x14ac:dyDescent="0.2">
      <c r="A44" s="7">
        <v>45716</v>
      </c>
      <c r="B44">
        <v>97.3</v>
      </c>
      <c r="C44">
        <v>106.45</v>
      </c>
      <c r="D44">
        <v>95.5</v>
      </c>
      <c r="E44">
        <v>98.055999999999997</v>
      </c>
      <c r="F44">
        <v>714336790</v>
      </c>
      <c r="G44">
        <f t="shared" si="0"/>
        <v>-4.8982214244921246E-2</v>
      </c>
    </row>
    <row r="45" spans="1:7" x14ac:dyDescent="0.2">
      <c r="A45" s="7">
        <v>45747</v>
      </c>
      <c r="B45">
        <v>98.3</v>
      </c>
      <c r="C45">
        <v>99.87</v>
      </c>
      <c r="D45">
        <v>85.45</v>
      </c>
      <c r="E45">
        <v>93.253</v>
      </c>
      <c r="F45">
        <v>1138461980</v>
      </c>
      <c r="G45">
        <f t="shared" si="0"/>
        <v>0.21360170718368307</v>
      </c>
    </row>
    <row r="46" spans="1:7" x14ac:dyDescent="0.2">
      <c r="A46" s="7">
        <v>45777</v>
      </c>
      <c r="B46">
        <v>92.75</v>
      </c>
      <c r="C46">
        <v>113.32</v>
      </c>
      <c r="D46">
        <v>82.11</v>
      </c>
      <c r="E46">
        <v>113.172</v>
      </c>
      <c r="F46">
        <v>1229550600</v>
      </c>
      <c r="G46">
        <f t="shared" si="0"/>
        <v>6.6721450535468158E-2</v>
      </c>
    </row>
    <row r="47" spans="1:7" x14ac:dyDescent="0.2">
      <c r="A47" s="7">
        <v>45808</v>
      </c>
      <c r="B47">
        <v>112.252</v>
      </c>
      <c r="C47">
        <v>121.59099999999999</v>
      </c>
      <c r="D47">
        <v>110.29300000000001</v>
      </c>
      <c r="E47">
        <v>120.723</v>
      </c>
      <c r="F47">
        <v>752124820</v>
      </c>
      <c r="G47">
        <f t="shared" si="0"/>
        <v>0.10925838489765838</v>
      </c>
    </row>
    <row r="48" spans="1:7" x14ac:dyDescent="0.2">
      <c r="A48" s="7">
        <v>45838</v>
      </c>
      <c r="B48">
        <v>120.12</v>
      </c>
      <c r="C48">
        <v>134.11500000000001</v>
      </c>
      <c r="D48">
        <v>118.06100000000001</v>
      </c>
      <c r="E48">
        <v>133.91300000000001</v>
      </c>
      <c r="F48">
        <v>550017440</v>
      </c>
      <c r="G48">
        <f t="shared" si="0"/>
        <v>-0.13421400461493666</v>
      </c>
    </row>
    <row r="49" spans="1:7" x14ac:dyDescent="0.2">
      <c r="A49" s="7">
        <v>45869</v>
      </c>
      <c r="B49">
        <v>133.82300000000001</v>
      </c>
      <c r="C49">
        <v>133.87700000000001</v>
      </c>
      <c r="D49">
        <v>115.774</v>
      </c>
      <c r="E49">
        <v>115.94</v>
      </c>
      <c r="F49">
        <v>866707410</v>
      </c>
      <c r="G49">
        <f t="shared" si="0"/>
        <v>4.213386234259104E-2</v>
      </c>
    </row>
    <row r="50" spans="1:7" x14ac:dyDescent="0.2">
      <c r="A50" s="7">
        <v>45900</v>
      </c>
      <c r="B50">
        <v>116.301</v>
      </c>
      <c r="C50">
        <v>125.116</v>
      </c>
      <c r="D50">
        <v>114.471</v>
      </c>
      <c r="E50">
        <v>120.825</v>
      </c>
      <c r="F50">
        <v>578276160</v>
      </c>
      <c r="G50">
        <f t="shared" si="0"/>
        <v>-7.7219118559901257E-3</v>
      </c>
    </row>
    <row r="51" spans="1:7" x14ac:dyDescent="0.2">
      <c r="A51" s="7">
        <v>45930</v>
      </c>
      <c r="B51">
        <v>119.7</v>
      </c>
      <c r="C51">
        <v>126.71</v>
      </c>
      <c r="D51">
        <v>117.321</v>
      </c>
      <c r="E51">
        <v>119.892</v>
      </c>
      <c r="F51">
        <v>619966550</v>
      </c>
      <c r="G51">
        <f t="shared" si="0"/>
        <v>-6.6776765755846929E-2</v>
      </c>
    </row>
    <row r="52" spans="1:7" x14ac:dyDescent="0.2">
      <c r="A52" s="7">
        <v>45961</v>
      </c>
      <c r="B52">
        <v>117.54900000000001</v>
      </c>
      <c r="C52">
        <v>124.86</v>
      </c>
      <c r="D52">
        <v>108.73</v>
      </c>
      <c r="E52">
        <v>111.886</v>
      </c>
      <c r="F52">
        <v>1021014340</v>
      </c>
      <c r="G52">
        <f t="shared" si="0"/>
        <v>-3.8485601415726697E-2</v>
      </c>
    </row>
    <row r="53" spans="1:7" x14ac:dyDescent="0.2">
      <c r="A53" s="7">
        <v>45991</v>
      </c>
      <c r="B53">
        <v>113.324</v>
      </c>
      <c r="C53">
        <v>116.733</v>
      </c>
      <c r="D53">
        <v>103.32</v>
      </c>
      <c r="E53">
        <v>107.58</v>
      </c>
      <c r="F53">
        <v>725970720</v>
      </c>
      <c r="G53">
        <f t="shared" si="0"/>
        <v>-0.12846253950548422</v>
      </c>
    </row>
    <row r="54" spans="1:7" x14ac:dyDescent="0.2">
      <c r="A54" s="7">
        <v>46022</v>
      </c>
      <c r="B54">
        <v>106.51</v>
      </c>
      <c r="C54">
        <v>109.73</v>
      </c>
      <c r="D54">
        <v>91.33</v>
      </c>
      <c r="E54">
        <v>93.76</v>
      </c>
      <c r="F54">
        <v>1021702991</v>
      </c>
      <c r="G54">
        <f t="shared" si="0"/>
        <v>-0.10953498293515369</v>
      </c>
    </row>
    <row r="55" spans="1:7" x14ac:dyDescent="0.2">
      <c r="A55" s="7">
        <v>46053</v>
      </c>
      <c r="B55">
        <v>94.13</v>
      </c>
      <c r="C55">
        <v>94.13</v>
      </c>
      <c r="D55">
        <v>81.93</v>
      </c>
      <c r="E55">
        <v>83.49</v>
      </c>
      <c r="F55">
        <v>1048001128</v>
      </c>
      <c r="G55">
        <f t="shared" si="0"/>
        <v>-9.4622110432386157E-3</v>
      </c>
    </row>
    <row r="56" spans="1:7" x14ac:dyDescent="0.2">
      <c r="A56" s="7">
        <v>46081</v>
      </c>
      <c r="B56">
        <v>83.53</v>
      </c>
      <c r="C56">
        <v>96.75</v>
      </c>
      <c r="D56">
        <v>75.010000000000005</v>
      </c>
      <c r="E56">
        <v>82.7</v>
      </c>
      <c r="F56">
        <v>1030115752</v>
      </c>
      <c r="G56">
        <f t="shared" si="0"/>
        <v>0.16263603385731562</v>
      </c>
    </row>
    <row r="57" spans="1:7" x14ac:dyDescent="0.2">
      <c r="A57" s="7">
        <v>46112</v>
      </c>
      <c r="B57">
        <v>95.26</v>
      </c>
      <c r="C57">
        <v>100.19</v>
      </c>
      <c r="D57">
        <v>90.69</v>
      </c>
      <c r="E57">
        <v>96.15</v>
      </c>
      <c r="F57">
        <v>948579751</v>
      </c>
      <c r="G57">
        <f t="shared" si="0"/>
        <v>-2.6417056682267355E-2</v>
      </c>
    </row>
    <row r="58" spans="1:7" x14ac:dyDescent="0.2">
      <c r="A58" s="7">
        <v>46142</v>
      </c>
      <c r="B58">
        <v>96.47</v>
      </c>
      <c r="C58">
        <v>108.94499999999999</v>
      </c>
      <c r="D58">
        <v>90.02</v>
      </c>
      <c r="E58">
        <v>93.61</v>
      </c>
      <c r="F58">
        <v>875387394</v>
      </c>
      <c r="G58">
        <f t="shared" si="0"/>
        <v>-8.1081081081081113E-2</v>
      </c>
    </row>
    <row r="59" spans="1:7" x14ac:dyDescent="0.2">
      <c r="A59" s="7">
        <v>46173</v>
      </c>
      <c r="B59">
        <v>94.42</v>
      </c>
      <c r="C59">
        <v>94.7</v>
      </c>
      <c r="D59">
        <v>85.1</v>
      </c>
      <c r="E59">
        <v>86.02</v>
      </c>
      <c r="F59">
        <v>665204822</v>
      </c>
      <c r="G59">
        <f t="shared" si="0"/>
        <v>-0.1699604743083003</v>
      </c>
    </row>
    <row r="60" spans="1:7" x14ac:dyDescent="0.2">
      <c r="A60" s="7">
        <v>46203</v>
      </c>
      <c r="B60">
        <v>85.724999999999994</v>
      </c>
      <c r="C60">
        <v>87.224999999999994</v>
      </c>
      <c r="D60">
        <v>70.86</v>
      </c>
      <c r="E60">
        <v>71.400000000000006</v>
      </c>
      <c r="F60">
        <v>1004130636</v>
      </c>
      <c r="G60">
        <f t="shared" si="0"/>
        <v>4.3417366946777039E-3</v>
      </c>
    </row>
    <row r="61" spans="1:7" x14ac:dyDescent="0.2">
      <c r="A61" s="7">
        <v>46234</v>
      </c>
      <c r="B61">
        <v>72.59</v>
      </c>
      <c r="C61">
        <v>78.44</v>
      </c>
      <c r="D61">
        <v>65.08</v>
      </c>
      <c r="E61">
        <v>71.709999999999994</v>
      </c>
      <c r="F61">
        <v>1080794897</v>
      </c>
    </row>
    <row r="62" spans="1:7" x14ac:dyDescent="0.2">
      <c r="A62"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64171-99AB-3F4C-871D-1E247B9BA86F}">
  <dimension ref="A1:C62"/>
  <sheetViews>
    <sheetView workbookViewId="0">
      <selection activeCell="C61" sqref="C61"/>
    </sheetView>
  </sheetViews>
  <sheetFormatPr baseColWidth="10" defaultRowHeight="16" x14ac:dyDescent="0.2"/>
  <sheetData>
    <row r="1" spans="1:3" x14ac:dyDescent="0.2">
      <c r="A1" t="s">
        <v>63</v>
      </c>
      <c r="B1" t="s">
        <v>64</v>
      </c>
      <c r="C1" t="s">
        <v>65</v>
      </c>
    </row>
    <row r="2" spans="1:3" x14ac:dyDescent="0.2">
      <c r="A2" s="7">
        <v>44409</v>
      </c>
      <c r="B2">
        <v>4522.68</v>
      </c>
    </row>
    <row r="3" spans="1:3" x14ac:dyDescent="0.2">
      <c r="A3" s="7">
        <v>44440</v>
      </c>
      <c r="B3">
        <v>4307.54</v>
      </c>
      <c r="C3">
        <f>(B4-B3)/B3</f>
        <v>6.9143873301234615E-2</v>
      </c>
    </row>
    <row r="4" spans="1:3" x14ac:dyDescent="0.2">
      <c r="A4" s="7">
        <v>44470</v>
      </c>
      <c r="B4">
        <v>4605.38</v>
      </c>
      <c r="C4">
        <f t="shared" ref="C4:C60" si="0">(B5-B4)/B4</f>
        <v>-8.3337314184714628E-3</v>
      </c>
    </row>
    <row r="5" spans="1:3" x14ac:dyDescent="0.2">
      <c r="A5" s="7">
        <v>44501</v>
      </c>
      <c r="B5">
        <v>4567</v>
      </c>
      <c r="C5">
        <f t="shared" si="0"/>
        <v>4.3612874972629799E-2</v>
      </c>
    </row>
    <row r="6" spans="1:3" x14ac:dyDescent="0.2">
      <c r="A6" s="7">
        <v>44531</v>
      </c>
      <c r="B6">
        <v>4766.18</v>
      </c>
      <c r="C6">
        <f t="shared" si="0"/>
        <v>-5.2585089106999758E-2</v>
      </c>
    </row>
    <row r="7" spans="1:3" x14ac:dyDescent="0.2">
      <c r="A7" s="7">
        <v>44562</v>
      </c>
      <c r="B7">
        <v>4515.55</v>
      </c>
      <c r="C7">
        <f t="shared" si="0"/>
        <v>-3.136052086678269E-2</v>
      </c>
    </row>
    <row r="8" spans="1:3" x14ac:dyDescent="0.2">
      <c r="A8" s="7">
        <v>44593</v>
      </c>
      <c r="B8">
        <v>4373.9399999999996</v>
      </c>
      <c r="C8">
        <f t="shared" si="0"/>
        <v>3.5773238773279988E-2</v>
      </c>
    </row>
    <row r="9" spans="1:3" x14ac:dyDescent="0.2">
      <c r="A9" s="7">
        <v>44621</v>
      </c>
      <c r="B9">
        <v>4530.41</v>
      </c>
      <c r="C9">
        <f t="shared" si="0"/>
        <v>-8.7956719149039395E-2</v>
      </c>
    </row>
    <row r="10" spans="1:3" x14ac:dyDescent="0.2">
      <c r="A10" s="7">
        <v>44652</v>
      </c>
      <c r="B10">
        <v>4131.93</v>
      </c>
      <c r="C10">
        <f t="shared" si="0"/>
        <v>5.3243883608711947E-5</v>
      </c>
    </row>
    <row r="11" spans="1:3" x14ac:dyDescent="0.2">
      <c r="A11" s="7">
        <v>44682</v>
      </c>
      <c r="B11">
        <v>4132.1499999999996</v>
      </c>
      <c r="C11">
        <f t="shared" si="0"/>
        <v>-8.391999322386641E-2</v>
      </c>
    </row>
    <row r="12" spans="1:3" x14ac:dyDescent="0.2">
      <c r="A12" s="7">
        <v>44713</v>
      </c>
      <c r="B12">
        <v>3785.38</v>
      </c>
      <c r="C12">
        <f t="shared" si="0"/>
        <v>9.1116347632205968E-2</v>
      </c>
    </row>
    <row r="13" spans="1:3" x14ac:dyDescent="0.2">
      <c r="A13" s="7">
        <v>44743</v>
      </c>
      <c r="B13">
        <v>4130.29</v>
      </c>
      <c r="C13">
        <f t="shared" si="0"/>
        <v>-4.2440119216810436E-2</v>
      </c>
    </row>
    <row r="14" spans="1:3" x14ac:dyDescent="0.2">
      <c r="A14" s="7">
        <v>44774</v>
      </c>
      <c r="B14">
        <v>3955</v>
      </c>
      <c r="C14">
        <f t="shared" si="0"/>
        <v>-9.3395701643489287E-2</v>
      </c>
    </row>
    <row r="15" spans="1:3" x14ac:dyDescent="0.2">
      <c r="A15" s="7">
        <v>44805</v>
      </c>
      <c r="B15">
        <v>3585.62</v>
      </c>
      <c r="C15">
        <f t="shared" si="0"/>
        <v>7.9863454576893297E-2</v>
      </c>
    </row>
    <row r="16" spans="1:3" x14ac:dyDescent="0.2">
      <c r="A16" s="7">
        <v>44835</v>
      </c>
      <c r="B16">
        <v>3871.98</v>
      </c>
      <c r="C16">
        <f t="shared" si="0"/>
        <v>5.375286029369989E-2</v>
      </c>
    </row>
    <row r="17" spans="1:3" x14ac:dyDescent="0.2">
      <c r="A17" s="7">
        <v>44866</v>
      </c>
      <c r="B17">
        <v>4080.11</v>
      </c>
      <c r="C17">
        <f t="shared" si="0"/>
        <v>-5.897144929916108E-2</v>
      </c>
    </row>
    <row r="18" spans="1:3" x14ac:dyDescent="0.2">
      <c r="A18" s="7">
        <v>44896</v>
      </c>
      <c r="B18">
        <v>3839.5</v>
      </c>
      <c r="C18">
        <f t="shared" si="0"/>
        <v>6.1752832400052068E-2</v>
      </c>
    </row>
    <row r="19" spans="1:3" x14ac:dyDescent="0.2">
      <c r="A19" s="7">
        <v>44927</v>
      </c>
      <c r="B19">
        <v>4076.6</v>
      </c>
      <c r="C19">
        <f t="shared" si="0"/>
        <v>-2.6112446646715356E-2</v>
      </c>
    </row>
    <row r="20" spans="1:3" x14ac:dyDescent="0.2">
      <c r="A20" s="7">
        <v>44958</v>
      </c>
      <c r="B20">
        <v>3970.15</v>
      </c>
      <c r="C20">
        <f t="shared" si="0"/>
        <v>3.5051572358727079E-2</v>
      </c>
    </row>
    <row r="21" spans="1:3" x14ac:dyDescent="0.2">
      <c r="A21" s="7">
        <v>44986</v>
      </c>
      <c r="B21">
        <v>4109.3100000000004</v>
      </c>
      <c r="C21">
        <f t="shared" si="0"/>
        <v>1.4642360882970416E-2</v>
      </c>
    </row>
    <row r="22" spans="1:3" x14ac:dyDescent="0.2">
      <c r="A22" s="7">
        <v>45017</v>
      </c>
      <c r="B22">
        <v>4169.4799999999996</v>
      </c>
      <c r="C22">
        <f t="shared" si="0"/>
        <v>2.4823239348792572E-3</v>
      </c>
    </row>
    <row r="23" spans="1:3" x14ac:dyDescent="0.2">
      <c r="A23" s="7">
        <v>45047</v>
      </c>
      <c r="B23">
        <v>4179.83</v>
      </c>
      <c r="C23">
        <f t="shared" si="0"/>
        <v>6.4727512841431398E-2</v>
      </c>
    </row>
    <row r="24" spans="1:3" x14ac:dyDescent="0.2">
      <c r="A24" s="7">
        <v>45078</v>
      </c>
      <c r="B24">
        <v>4450.38</v>
      </c>
      <c r="C24">
        <f t="shared" si="0"/>
        <v>3.1138913980379185E-2</v>
      </c>
    </row>
    <row r="25" spans="1:3" x14ac:dyDescent="0.2">
      <c r="A25" s="7">
        <v>45108</v>
      </c>
      <c r="B25">
        <v>4588.96</v>
      </c>
      <c r="C25">
        <f t="shared" si="0"/>
        <v>-1.7716432481433741E-2</v>
      </c>
    </row>
    <row r="26" spans="1:3" x14ac:dyDescent="0.2">
      <c r="A26" s="7">
        <v>45139</v>
      </c>
      <c r="B26">
        <v>4507.66</v>
      </c>
      <c r="C26">
        <f t="shared" si="0"/>
        <v>-4.8719291162155016E-2</v>
      </c>
    </row>
    <row r="27" spans="1:3" x14ac:dyDescent="0.2">
      <c r="A27" s="7">
        <v>45170</v>
      </c>
      <c r="B27">
        <v>4288.05</v>
      </c>
      <c r="C27">
        <f t="shared" si="0"/>
        <v>-2.1979687736850082E-2</v>
      </c>
    </row>
    <row r="28" spans="1:3" x14ac:dyDescent="0.2">
      <c r="A28" s="7">
        <v>45200</v>
      </c>
      <c r="B28">
        <v>4193.8</v>
      </c>
      <c r="C28">
        <f t="shared" si="0"/>
        <v>8.9179264628737653E-2</v>
      </c>
    </row>
    <row r="29" spans="1:3" x14ac:dyDescent="0.2">
      <c r="A29" s="7">
        <v>45231</v>
      </c>
      <c r="B29">
        <v>4567.8</v>
      </c>
      <c r="C29">
        <f t="shared" si="0"/>
        <v>4.4229169403213746E-2</v>
      </c>
    </row>
    <row r="30" spans="1:3" x14ac:dyDescent="0.2">
      <c r="A30" s="7">
        <v>45261</v>
      </c>
      <c r="B30">
        <v>4769.83</v>
      </c>
      <c r="C30">
        <f t="shared" si="0"/>
        <v>1.5895744712075631E-2</v>
      </c>
    </row>
    <row r="31" spans="1:3" x14ac:dyDescent="0.2">
      <c r="A31" s="7">
        <v>45292</v>
      </c>
      <c r="B31">
        <v>4845.6499999999996</v>
      </c>
      <c r="C31">
        <f t="shared" si="0"/>
        <v>5.1720615397315289E-2</v>
      </c>
    </row>
    <row r="32" spans="1:3" x14ac:dyDescent="0.2">
      <c r="A32" s="7">
        <v>45323</v>
      </c>
      <c r="B32">
        <v>5096.2700000000004</v>
      </c>
      <c r="C32">
        <f t="shared" si="0"/>
        <v>3.1018764704381814E-2</v>
      </c>
    </row>
    <row r="33" spans="1:3" x14ac:dyDescent="0.2">
      <c r="A33" s="7">
        <v>45352</v>
      </c>
      <c r="B33">
        <v>5254.35</v>
      </c>
      <c r="C33">
        <f t="shared" si="0"/>
        <v>-4.1615042774082567E-2</v>
      </c>
    </row>
    <row r="34" spans="1:3" x14ac:dyDescent="0.2">
      <c r="A34" s="7">
        <v>45383</v>
      </c>
      <c r="B34">
        <v>5035.6899999999996</v>
      </c>
      <c r="C34">
        <f t="shared" si="0"/>
        <v>4.8021224499522536E-2</v>
      </c>
    </row>
    <row r="35" spans="1:3" x14ac:dyDescent="0.2">
      <c r="A35" s="7">
        <v>45413</v>
      </c>
      <c r="B35">
        <v>5277.51</v>
      </c>
      <c r="C35">
        <f t="shared" si="0"/>
        <v>3.4669759034089816E-2</v>
      </c>
    </row>
    <row r="36" spans="1:3" x14ac:dyDescent="0.2">
      <c r="A36" s="7">
        <v>45444</v>
      </c>
      <c r="B36">
        <v>5460.48</v>
      </c>
      <c r="C36">
        <f t="shared" si="0"/>
        <v>1.1321349038912444E-2</v>
      </c>
    </row>
    <row r="37" spans="1:3" x14ac:dyDescent="0.2">
      <c r="A37" s="7">
        <v>45474</v>
      </c>
      <c r="B37">
        <v>5522.3</v>
      </c>
      <c r="C37">
        <f t="shared" si="0"/>
        <v>2.2834688445031861E-2</v>
      </c>
    </row>
    <row r="38" spans="1:3" x14ac:dyDescent="0.2">
      <c r="A38" s="7">
        <v>45505</v>
      </c>
      <c r="B38">
        <v>5648.4</v>
      </c>
      <c r="C38">
        <f t="shared" si="0"/>
        <v>2.0196869910063014E-2</v>
      </c>
    </row>
    <row r="39" spans="1:3" x14ac:dyDescent="0.2">
      <c r="A39" s="7">
        <v>45536</v>
      </c>
      <c r="B39">
        <v>5762.48</v>
      </c>
      <c r="C39">
        <f t="shared" si="0"/>
        <v>-9.896780552817494E-3</v>
      </c>
    </row>
    <row r="40" spans="1:3" x14ac:dyDescent="0.2">
      <c r="A40" s="7">
        <v>45566</v>
      </c>
      <c r="B40">
        <v>5705.45</v>
      </c>
      <c r="C40">
        <f t="shared" si="0"/>
        <v>5.7301352215863834E-2</v>
      </c>
    </row>
    <row r="41" spans="1:3" x14ac:dyDescent="0.2">
      <c r="A41" s="7">
        <v>45597</v>
      </c>
      <c r="B41">
        <v>6032.38</v>
      </c>
      <c r="C41">
        <f t="shared" si="0"/>
        <v>-2.4990136563014929E-2</v>
      </c>
    </row>
    <row r="42" spans="1:3" x14ac:dyDescent="0.2">
      <c r="A42" s="7">
        <v>45627</v>
      </c>
      <c r="B42">
        <v>5881.63</v>
      </c>
      <c r="C42">
        <f t="shared" si="0"/>
        <v>2.7016320305765517E-2</v>
      </c>
    </row>
    <row r="43" spans="1:3" x14ac:dyDescent="0.2">
      <c r="A43" s="7">
        <v>45658</v>
      </c>
      <c r="B43">
        <v>6040.53</v>
      </c>
      <c r="C43">
        <f t="shared" si="0"/>
        <v>-1.4242127760312381E-2</v>
      </c>
    </row>
    <row r="44" spans="1:3" x14ac:dyDescent="0.2">
      <c r="A44" s="7">
        <v>45689</v>
      </c>
      <c r="B44">
        <v>5954.5</v>
      </c>
      <c r="C44">
        <f t="shared" si="0"/>
        <v>-5.7544714081786824E-2</v>
      </c>
    </row>
    <row r="45" spans="1:3" x14ac:dyDescent="0.2">
      <c r="A45" s="7">
        <v>45717</v>
      </c>
      <c r="B45">
        <v>5611.85</v>
      </c>
      <c r="C45">
        <f t="shared" si="0"/>
        <v>-7.6249365182604594E-3</v>
      </c>
    </row>
    <row r="46" spans="1:3" x14ac:dyDescent="0.2">
      <c r="A46" s="7">
        <v>45748</v>
      </c>
      <c r="B46">
        <v>5569.06</v>
      </c>
      <c r="C46">
        <f t="shared" si="0"/>
        <v>6.1523847830693E-2</v>
      </c>
    </row>
    <row r="47" spans="1:3" x14ac:dyDescent="0.2">
      <c r="A47" s="7">
        <v>45778</v>
      </c>
      <c r="B47">
        <v>5911.69</v>
      </c>
      <c r="C47">
        <f t="shared" si="0"/>
        <v>4.9606796026178679E-2</v>
      </c>
    </row>
    <row r="48" spans="1:3" x14ac:dyDescent="0.2">
      <c r="A48" s="7">
        <v>45809</v>
      </c>
      <c r="B48">
        <v>6204.95</v>
      </c>
      <c r="C48">
        <f t="shared" si="0"/>
        <v>2.1666572655702383E-2</v>
      </c>
    </row>
    <row r="49" spans="1:3" x14ac:dyDescent="0.2">
      <c r="A49" s="7">
        <v>45839</v>
      </c>
      <c r="B49">
        <v>6339.39</v>
      </c>
      <c r="C49">
        <f t="shared" si="0"/>
        <v>1.9066503244002955E-2</v>
      </c>
    </row>
    <row r="50" spans="1:3" x14ac:dyDescent="0.2">
      <c r="A50" s="7">
        <v>45870</v>
      </c>
      <c r="B50">
        <v>6460.26</v>
      </c>
      <c r="C50">
        <f t="shared" si="0"/>
        <v>3.5323655704259549E-2</v>
      </c>
    </row>
    <row r="51" spans="1:3" x14ac:dyDescent="0.2">
      <c r="A51" s="7">
        <v>45901</v>
      </c>
      <c r="B51">
        <v>6688.46</v>
      </c>
      <c r="C51">
        <f t="shared" si="0"/>
        <v>2.268683673072722E-2</v>
      </c>
    </row>
    <row r="52" spans="1:3" x14ac:dyDescent="0.2">
      <c r="A52" s="7">
        <v>45931</v>
      </c>
      <c r="B52">
        <v>6840.2</v>
      </c>
      <c r="C52">
        <f t="shared" si="0"/>
        <v>1.2996696003041326E-3</v>
      </c>
    </row>
    <row r="53" spans="1:3" x14ac:dyDescent="0.2">
      <c r="A53" s="7">
        <v>45962</v>
      </c>
      <c r="B53">
        <v>6849.09</v>
      </c>
      <c r="C53">
        <f t="shared" si="0"/>
        <v>-5.2415722380639554E-4</v>
      </c>
    </row>
    <row r="54" spans="1:3" x14ac:dyDescent="0.2">
      <c r="A54" s="7">
        <v>45992</v>
      </c>
      <c r="B54">
        <v>6845.5</v>
      </c>
      <c r="C54">
        <f t="shared" si="0"/>
        <v>1.3662990285589037E-2</v>
      </c>
    </row>
    <row r="55" spans="1:3" x14ac:dyDescent="0.2">
      <c r="A55" s="7">
        <v>46023</v>
      </c>
      <c r="B55">
        <v>6939.03</v>
      </c>
      <c r="C55">
        <f t="shared" si="0"/>
        <v>-8.6683585457909308E-3</v>
      </c>
    </row>
    <row r="56" spans="1:3" x14ac:dyDescent="0.2">
      <c r="A56" s="7">
        <v>46054</v>
      </c>
      <c r="B56">
        <v>6878.88</v>
      </c>
      <c r="C56">
        <f t="shared" si="0"/>
        <v>-5.0932709976042566E-2</v>
      </c>
    </row>
    <row r="57" spans="1:3" x14ac:dyDescent="0.2">
      <c r="A57" s="7">
        <v>46082</v>
      </c>
      <c r="B57">
        <v>6528.52</v>
      </c>
      <c r="C57">
        <f t="shared" si="0"/>
        <v>0.10423342503354509</v>
      </c>
    </row>
    <row r="58" spans="1:3" x14ac:dyDescent="0.2">
      <c r="A58" s="7">
        <v>46113</v>
      </c>
      <c r="B58">
        <v>7209.01</v>
      </c>
      <c r="C58">
        <f t="shared" si="0"/>
        <v>5.147031284462085E-2</v>
      </c>
    </row>
    <row r="59" spans="1:3" x14ac:dyDescent="0.2">
      <c r="A59" s="7">
        <v>46143</v>
      </c>
      <c r="B59">
        <v>7580.06</v>
      </c>
      <c r="C59">
        <f t="shared" si="0"/>
        <v>-1.0646353722793846E-2</v>
      </c>
    </row>
    <row r="60" spans="1:3" x14ac:dyDescent="0.2">
      <c r="A60" s="7">
        <v>46174</v>
      </c>
      <c r="B60">
        <v>7499.36</v>
      </c>
      <c r="C60">
        <f t="shared" si="0"/>
        <v>-1.2854430244713441E-3</v>
      </c>
    </row>
    <row r="61" spans="1:3" x14ac:dyDescent="0.2">
      <c r="A61" s="7">
        <v>46204</v>
      </c>
      <c r="B61">
        <v>7489.72</v>
      </c>
    </row>
    <row r="62" spans="1:3" x14ac:dyDescent="0.2">
      <c r="A62"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6E512-0C84-7549-8EFD-87FE1B6C1D89}">
  <dimension ref="A1:D16"/>
  <sheetViews>
    <sheetView workbookViewId="0">
      <selection activeCell="C11" sqref="C11"/>
    </sheetView>
  </sheetViews>
  <sheetFormatPr baseColWidth="10" defaultRowHeight="16" x14ac:dyDescent="0.2"/>
  <cols>
    <col min="1" max="1" width="22" bestFit="1" customWidth="1"/>
    <col min="2" max="2" width="12.83203125" customWidth="1"/>
    <col min="3" max="3" width="20.1640625" customWidth="1"/>
  </cols>
  <sheetData>
    <row r="1" spans="1:4" x14ac:dyDescent="0.2">
      <c r="A1" t="s">
        <v>5</v>
      </c>
      <c r="B1" t="s">
        <v>0</v>
      </c>
      <c r="C1" t="s">
        <v>28</v>
      </c>
      <c r="D1" t="s">
        <v>4</v>
      </c>
    </row>
    <row r="2" spans="1:4" x14ac:dyDescent="0.2">
      <c r="A2" t="s">
        <v>17</v>
      </c>
      <c r="B2">
        <v>200000000</v>
      </c>
      <c r="C2" t="s">
        <v>14</v>
      </c>
      <c r="D2" t="s">
        <v>233</v>
      </c>
    </row>
    <row r="3" spans="1:4" x14ac:dyDescent="0.2">
      <c r="A3" t="s">
        <v>18</v>
      </c>
      <c r="B3" t="s">
        <v>40</v>
      </c>
      <c r="D3" t="s">
        <v>41</v>
      </c>
    </row>
    <row r="4" spans="1:4" x14ac:dyDescent="0.2">
      <c r="A4" t="s">
        <v>19</v>
      </c>
      <c r="B4" t="s">
        <v>40</v>
      </c>
      <c r="D4" t="s">
        <v>234</v>
      </c>
    </row>
    <row r="5" spans="1:4" x14ac:dyDescent="0.2">
      <c r="A5" t="s">
        <v>20</v>
      </c>
      <c r="B5">
        <v>200000000</v>
      </c>
      <c r="C5">
        <f>B2</f>
        <v>200000000</v>
      </c>
      <c r="D5" t="s">
        <v>235</v>
      </c>
    </row>
    <row r="6" spans="1:4" x14ac:dyDescent="0.2">
      <c r="A6" t="s">
        <v>21</v>
      </c>
      <c r="B6">
        <v>454200000</v>
      </c>
      <c r="C6" t="s">
        <v>236</v>
      </c>
      <c r="D6" t="s">
        <v>131</v>
      </c>
    </row>
    <row r="7" spans="1:4" x14ac:dyDescent="0.2">
      <c r="A7" t="s">
        <v>237</v>
      </c>
      <c r="B7">
        <v>106886034.38</v>
      </c>
      <c r="C7">
        <f>B6*0.235328125</f>
        <v>106886034.375</v>
      </c>
      <c r="D7" t="s">
        <v>238</v>
      </c>
    </row>
    <row r="8" spans="1:4" x14ac:dyDescent="0.2">
      <c r="A8" t="s">
        <v>22</v>
      </c>
      <c r="B8" t="s">
        <v>40</v>
      </c>
      <c r="D8" t="s">
        <v>239</v>
      </c>
    </row>
    <row r="9" spans="1:4" x14ac:dyDescent="0.2">
      <c r="A9" t="s">
        <v>23</v>
      </c>
      <c r="B9" t="s">
        <v>40</v>
      </c>
      <c r="D9" t="s">
        <v>240</v>
      </c>
    </row>
    <row r="10" spans="1:4" x14ac:dyDescent="0.2">
      <c r="A10" t="s">
        <v>24</v>
      </c>
      <c r="B10">
        <v>106886034.38</v>
      </c>
      <c r="C10">
        <f>B7</f>
        <v>106886034.38</v>
      </c>
      <c r="D10" t="s">
        <v>241</v>
      </c>
    </row>
    <row r="11" spans="1:4" x14ac:dyDescent="0.2">
      <c r="A11" t="s">
        <v>25</v>
      </c>
      <c r="B11">
        <v>-93113965.620000005</v>
      </c>
      <c r="D11" t="s">
        <v>242</v>
      </c>
    </row>
    <row r="12" spans="1:4" x14ac:dyDescent="0.2">
      <c r="A12" t="s">
        <v>39</v>
      </c>
      <c r="B12" s="6">
        <v>0.1079</v>
      </c>
      <c r="C12" t="s">
        <v>243</v>
      </c>
    </row>
    <row r="13" spans="1:4" x14ac:dyDescent="0.2">
      <c r="A13" t="s">
        <v>244</v>
      </c>
      <c r="B13">
        <v>0.249315068</v>
      </c>
      <c r="C13">
        <f>91/365</f>
        <v>0.24931506849315069</v>
      </c>
      <c r="D13" t="s">
        <v>245</v>
      </c>
    </row>
    <row r="14" spans="1:4" x14ac:dyDescent="0.2">
      <c r="A14" t="s">
        <v>26</v>
      </c>
      <c r="B14">
        <v>104190063.73</v>
      </c>
    </row>
    <row r="15" spans="1:4" x14ac:dyDescent="0.2">
      <c r="A15" t="s">
        <v>9</v>
      </c>
      <c r="B15">
        <v>-95809936.269999996</v>
      </c>
    </row>
    <row r="16" spans="1:4" x14ac:dyDescent="0.2">
      <c r="A16" t="s">
        <v>27</v>
      </c>
      <c r="B16" t="s">
        <v>246</v>
      </c>
      <c r="D16" t="s">
        <v>247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6E47-9250-1048-8D84-02B226E8FCA1}">
  <dimension ref="A1:D16"/>
  <sheetViews>
    <sheetView workbookViewId="0">
      <selection activeCell="D21" sqref="D21"/>
    </sheetView>
  </sheetViews>
  <sheetFormatPr baseColWidth="10" defaultRowHeight="16" x14ac:dyDescent="0.2"/>
  <cols>
    <col min="3" max="3" width="13.83203125" bestFit="1" customWidth="1"/>
  </cols>
  <sheetData>
    <row r="1" spans="1:4" x14ac:dyDescent="0.2">
      <c r="A1" t="s">
        <v>5</v>
      </c>
      <c r="B1" t="s">
        <v>0</v>
      </c>
      <c r="C1" t="s">
        <v>28</v>
      </c>
      <c r="D1" t="s">
        <v>4</v>
      </c>
    </row>
    <row r="2" spans="1:4" x14ac:dyDescent="0.2">
      <c r="A2" t="s">
        <v>17</v>
      </c>
      <c r="B2">
        <v>67500000</v>
      </c>
      <c r="C2" t="s">
        <v>14</v>
      </c>
      <c r="D2" t="s">
        <v>248</v>
      </c>
    </row>
    <row r="3" spans="1:4" x14ac:dyDescent="0.2">
      <c r="A3" t="s">
        <v>18</v>
      </c>
      <c r="B3" t="s">
        <v>40</v>
      </c>
      <c r="D3" t="s">
        <v>41</v>
      </c>
    </row>
    <row r="4" spans="1:4" x14ac:dyDescent="0.2">
      <c r="A4" t="s">
        <v>19</v>
      </c>
      <c r="B4" t="s">
        <v>40</v>
      </c>
      <c r="D4" t="s">
        <v>234</v>
      </c>
    </row>
    <row r="5" spans="1:4" x14ac:dyDescent="0.2">
      <c r="A5" t="s">
        <v>20</v>
      </c>
      <c r="B5">
        <v>67500000</v>
      </c>
      <c r="C5">
        <f>B2</f>
        <v>67500000</v>
      </c>
      <c r="D5" t="s">
        <v>235</v>
      </c>
    </row>
    <row r="6" spans="1:4" x14ac:dyDescent="0.2">
      <c r="A6" t="s">
        <v>249</v>
      </c>
      <c r="B6">
        <v>266900000</v>
      </c>
      <c r="C6" t="s">
        <v>236</v>
      </c>
      <c r="D6" t="s">
        <v>250</v>
      </c>
    </row>
    <row r="7" spans="1:4" x14ac:dyDescent="0.2">
      <c r="A7" t="s">
        <v>251</v>
      </c>
      <c r="B7">
        <v>62809076.560000002</v>
      </c>
      <c r="C7">
        <f>266900000*0.235328125</f>
        <v>62809076.5625</v>
      </c>
      <c r="D7" t="s">
        <v>252</v>
      </c>
    </row>
    <row r="8" spans="1:4" x14ac:dyDescent="0.2">
      <c r="A8" t="s">
        <v>253</v>
      </c>
      <c r="B8">
        <v>278700000</v>
      </c>
      <c r="C8" t="s">
        <v>236</v>
      </c>
      <c r="D8" t="s">
        <v>254</v>
      </c>
    </row>
    <row r="9" spans="1:4" x14ac:dyDescent="0.2">
      <c r="A9" t="s">
        <v>24</v>
      </c>
      <c r="B9">
        <v>65585948.439999998</v>
      </c>
      <c r="C9">
        <f>278700000*0.235328125</f>
        <v>65585948.4375</v>
      </c>
      <c r="D9" t="s">
        <v>255</v>
      </c>
    </row>
    <row r="10" spans="1:4" x14ac:dyDescent="0.2">
      <c r="A10" t="s">
        <v>25</v>
      </c>
      <c r="B10">
        <v>-1914051.56</v>
      </c>
      <c r="D10" t="s">
        <v>242</v>
      </c>
    </row>
    <row r="11" spans="1:4" x14ac:dyDescent="0.2">
      <c r="A11" t="s">
        <v>39</v>
      </c>
      <c r="B11" s="6">
        <v>0.1079</v>
      </c>
      <c r="C11" t="s">
        <v>243</v>
      </c>
    </row>
    <row r="12" spans="1:4" x14ac:dyDescent="0.2">
      <c r="A12" t="s">
        <v>244</v>
      </c>
      <c r="B12">
        <v>0.249315068</v>
      </c>
      <c r="C12">
        <f>91/365</f>
        <v>0.24931506849315069</v>
      </c>
      <c r="D12" t="s">
        <v>245</v>
      </c>
    </row>
    <row r="13" spans="1:4" x14ac:dyDescent="0.2">
      <c r="A13" t="s">
        <v>26</v>
      </c>
      <c r="B13">
        <v>63931683.75</v>
      </c>
      <c r="C13">
        <f>B9/(1+B11)^B12</f>
        <v>63931683.759413376</v>
      </c>
    </row>
    <row r="14" spans="1:4" x14ac:dyDescent="0.2">
      <c r="A14" t="s">
        <v>9</v>
      </c>
      <c r="B14">
        <v>-3568316.25</v>
      </c>
    </row>
    <row r="15" spans="1:4" x14ac:dyDescent="0.2">
      <c r="A15" t="s">
        <v>27</v>
      </c>
      <c r="B15" t="s">
        <v>246</v>
      </c>
      <c r="C15" t="s">
        <v>256</v>
      </c>
    </row>
    <row r="16" spans="1:4" x14ac:dyDescent="0.2">
      <c r="A16" t="s">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3965-9A1C-FE40-9A23-9B3150940CC9}">
  <dimension ref="A1:D14"/>
  <sheetViews>
    <sheetView workbookViewId="0">
      <selection activeCell="C21" sqref="C21"/>
    </sheetView>
  </sheetViews>
  <sheetFormatPr baseColWidth="10" defaultRowHeight="16" x14ac:dyDescent="0.2"/>
  <cols>
    <col min="1" max="1" width="14.83203125" customWidth="1"/>
  </cols>
  <sheetData>
    <row r="1" spans="1:4" x14ac:dyDescent="0.2">
      <c r="A1" t="s">
        <v>5</v>
      </c>
      <c r="B1" t="s">
        <v>0</v>
      </c>
      <c r="C1" t="s">
        <v>28</v>
      </c>
      <c r="D1" t="s">
        <v>4</v>
      </c>
    </row>
    <row r="2" spans="1:4" x14ac:dyDescent="0.2">
      <c r="A2" t="s">
        <v>17</v>
      </c>
      <c r="B2" t="s">
        <v>40</v>
      </c>
      <c r="D2" t="s">
        <v>257</v>
      </c>
    </row>
    <row r="3" spans="1:4" x14ac:dyDescent="0.2">
      <c r="A3" t="s">
        <v>18</v>
      </c>
      <c r="B3" t="s">
        <v>40</v>
      </c>
      <c r="D3" t="s">
        <v>258</v>
      </c>
    </row>
    <row r="4" spans="1:4" x14ac:dyDescent="0.2">
      <c r="A4" t="s">
        <v>19</v>
      </c>
      <c r="B4" t="s">
        <v>40</v>
      </c>
      <c r="D4" t="s">
        <v>259</v>
      </c>
    </row>
    <row r="5" spans="1:4" x14ac:dyDescent="0.2">
      <c r="A5" t="s">
        <v>20</v>
      </c>
      <c r="B5" t="s">
        <v>40</v>
      </c>
      <c r="D5" t="s">
        <v>260</v>
      </c>
    </row>
    <row r="6" spans="1:4" x14ac:dyDescent="0.2">
      <c r="A6" t="s">
        <v>261</v>
      </c>
      <c r="B6">
        <v>1359226275</v>
      </c>
      <c r="C6" t="s">
        <v>76</v>
      </c>
      <c r="D6" t="s">
        <v>262</v>
      </c>
    </row>
    <row r="7" spans="1:4" x14ac:dyDescent="0.2">
      <c r="A7" t="s">
        <v>263</v>
      </c>
      <c r="B7">
        <v>4800000</v>
      </c>
      <c r="C7" t="s">
        <v>181</v>
      </c>
      <c r="D7" t="s">
        <v>182</v>
      </c>
    </row>
    <row r="8" spans="1:4" x14ac:dyDescent="0.2">
      <c r="A8" t="s">
        <v>264</v>
      </c>
      <c r="B8">
        <v>6500000</v>
      </c>
      <c r="C8" t="s">
        <v>181</v>
      </c>
      <c r="D8" t="s">
        <v>184</v>
      </c>
    </row>
    <row r="9" spans="1:4" x14ac:dyDescent="0.2">
      <c r="A9" t="s">
        <v>265</v>
      </c>
      <c r="B9">
        <v>1529632.81</v>
      </c>
      <c r="C9">
        <f>6500000*0.235328125</f>
        <v>1529632.8125</v>
      </c>
      <c r="D9" t="s">
        <v>266</v>
      </c>
    </row>
    <row r="10" spans="1:4" x14ac:dyDescent="0.2">
      <c r="A10" t="s">
        <v>267</v>
      </c>
      <c r="B10">
        <v>195300000</v>
      </c>
      <c r="C10" t="s">
        <v>186</v>
      </c>
      <c r="D10" t="s">
        <v>268</v>
      </c>
    </row>
    <row r="11" spans="1:4" x14ac:dyDescent="0.2">
      <c r="A11" t="s">
        <v>269</v>
      </c>
      <c r="B11">
        <v>45959582.810000002</v>
      </c>
      <c r="C11">
        <f>195300000*0.235328125</f>
        <v>45959582.8125</v>
      </c>
      <c r="D11" t="s">
        <v>270</v>
      </c>
    </row>
    <row r="12" spans="1:4" x14ac:dyDescent="0.2">
      <c r="A12" t="s">
        <v>271</v>
      </c>
      <c r="B12">
        <v>38</v>
      </c>
      <c r="C12" t="s">
        <v>190</v>
      </c>
      <c r="D12" t="s">
        <v>272</v>
      </c>
    </row>
    <row r="13" spans="1:4" x14ac:dyDescent="0.2">
      <c r="A13" t="s">
        <v>9</v>
      </c>
      <c r="B13" t="s">
        <v>40</v>
      </c>
      <c r="D13" t="s">
        <v>273</v>
      </c>
    </row>
    <row r="14" spans="1:4" x14ac:dyDescent="0.2">
      <c r="A14" t="s">
        <v>27</v>
      </c>
      <c r="B14" t="s">
        <v>40</v>
      </c>
      <c r="D14" t="s">
        <v>273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F23F-F4A3-1D42-9613-6E7892624C4D}">
  <dimension ref="A1:F25"/>
  <sheetViews>
    <sheetView workbookViewId="0">
      <selection activeCell="E33" sqref="E33"/>
    </sheetView>
  </sheetViews>
  <sheetFormatPr baseColWidth="10" defaultRowHeight="16" x14ac:dyDescent="0.2"/>
  <cols>
    <col min="1" max="1" width="14.1640625" bestFit="1" customWidth="1"/>
    <col min="2" max="2" width="12.33203125" bestFit="1" customWidth="1"/>
    <col min="3" max="6" width="17.1640625" customWidth="1"/>
  </cols>
  <sheetData>
    <row r="1" spans="1:6" x14ac:dyDescent="0.2">
      <c r="A1" t="s">
        <v>30</v>
      </c>
    </row>
    <row r="2" spans="1:6" x14ac:dyDescent="0.2">
      <c r="A2" t="s">
        <v>276</v>
      </c>
      <c r="B2" s="3">
        <v>0.08</v>
      </c>
      <c r="C2" s="3">
        <v>0.09</v>
      </c>
      <c r="D2" t="s">
        <v>277</v>
      </c>
      <c r="E2" s="3">
        <v>0.12</v>
      </c>
      <c r="F2" s="3">
        <v>0.14000000000000001</v>
      </c>
    </row>
    <row r="3" spans="1:6" x14ac:dyDescent="0.2">
      <c r="A3" s="3">
        <v>-0.2</v>
      </c>
      <c r="B3">
        <v>-116116237</v>
      </c>
      <c r="C3" s="3">
        <v>-116308768</v>
      </c>
      <c r="D3" s="3">
        <v>-116647949</v>
      </c>
      <c r="E3" s="3">
        <v>-116873373</v>
      </c>
      <c r="F3" s="3">
        <v>-117239384</v>
      </c>
    </row>
    <row r="4" spans="1:6" x14ac:dyDescent="0.2">
      <c r="A4" s="3">
        <v>-0.1</v>
      </c>
      <c r="B4">
        <v>-105630766</v>
      </c>
      <c r="C4">
        <v>-105847364</v>
      </c>
      <c r="D4">
        <v>-106228943</v>
      </c>
      <c r="E4">
        <v>-106482545</v>
      </c>
      <c r="F4">
        <v>-106894307</v>
      </c>
    </row>
    <row r="5" spans="1:6" x14ac:dyDescent="0.2">
      <c r="A5" t="s">
        <v>278</v>
      </c>
      <c r="B5">
        <v>-95145296</v>
      </c>
      <c r="C5">
        <v>-95385960</v>
      </c>
      <c r="D5">
        <v>-95809936</v>
      </c>
      <c r="E5">
        <v>-96091717</v>
      </c>
      <c r="F5">
        <v>-96549230</v>
      </c>
    </row>
    <row r="6" spans="1:6" x14ac:dyDescent="0.2">
      <c r="A6" s="3">
        <v>0.1</v>
      </c>
      <c r="B6">
        <v>-84659826</v>
      </c>
      <c r="C6">
        <v>-84924556</v>
      </c>
      <c r="D6">
        <v>-85390930</v>
      </c>
      <c r="E6">
        <v>-85700888</v>
      </c>
      <c r="F6">
        <v>-86204153</v>
      </c>
    </row>
    <row r="7" spans="1:6" x14ac:dyDescent="0.2">
      <c r="A7" s="3">
        <v>0.2</v>
      </c>
      <c r="B7">
        <v>-74174355</v>
      </c>
      <c r="C7">
        <v>-74463152</v>
      </c>
      <c r="D7">
        <v>-74971924</v>
      </c>
      <c r="E7">
        <v>-75310060</v>
      </c>
      <c r="F7">
        <v>-75859076</v>
      </c>
    </row>
    <row r="10" spans="1:6" x14ac:dyDescent="0.2">
      <c r="A10" t="s">
        <v>31</v>
      </c>
    </row>
    <row r="11" spans="1:6" x14ac:dyDescent="0.2">
      <c r="A11" t="s">
        <v>276</v>
      </c>
      <c r="B11" s="3">
        <v>0.08</v>
      </c>
      <c r="C11" s="3">
        <v>0.09</v>
      </c>
      <c r="D11" s="3" t="s">
        <v>277</v>
      </c>
      <c r="E11" s="3">
        <v>0.12</v>
      </c>
      <c r="F11" s="3">
        <v>0.14000000000000001</v>
      </c>
    </row>
    <row r="12" spans="1:6" x14ac:dyDescent="0.2">
      <c r="A12" s="3">
        <v>-0.2</v>
      </c>
      <c r="B12">
        <v>-16028391</v>
      </c>
      <c r="C12">
        <v>-16146529</v>
      </c>
      <c r="D12">
        <v>-16354653</v>
      </c>
      <c r="E12">
        <v>-16492975</v>
      </c>
      <c r="F12">
        <v>-16717561</v>
      </c>
    </row>
    <row r="13" spans="1:6" x14ac:dyDescent="0.2">
      <c r="A13" s="3">
        <v>-0.1</v>
      </c>
      <c r="B13">
        <v>-9594440</v>
      </c>
      <c r="C13">
        <v>-9727345</v>
      </c>
      <c r="D13">
        <v>-9961485</v>
      </c>
      <c r="E13">
        <v>-10117097</v>
      </c>
      <c r="F13">
        <v>-10369756</v>
      </c>
    </row>
    <row r="14" spans="1:6" x14ac:dyDescent="0.2">
      <c r="A14" t="s">
        <v>278</v>
      </c>
      <c r="B14">
        <v>-3160489</v>
      </c>
      <c r="C14">
        <v>-3308162</v>
      </c>
      <c r="D14">
        <v>-3568316</v>
      </c>
      <c r="E14">
        <v>-3741219</v>
      </c>
      <c r="F14">
        <v>-4021952</v>
      </c>
    </row>
    <row r="15" spans="1:6" x14ac:dyDescent="0.2">
      <c r="A15" s="3">
        <v>0.1</v>
      </c>
      <c r="B15">
        <v>3273462</v>
      </c>
      <c r="C15">
        <v>3111022</v>
      </c>
      <c r="D15">
        <v>2824852</v>
      </c>
      <c r="E15">
        <v>2634660</v>
      </c>
      <c r="F15">
        <v>2325853</v>
      </c>
    </row>
    <row r="16" spans="1:6" x14ac:dyDescent="0.2">
      <c r="A16" s="3">
        <v>0.2</v>
      </c>
      <c r="B16">
        <v>9707413</v>
      </c>
      <c r="C16">
        <v>9530206</v>
      </c>
      <c r="D16">
        <v>9218021</v>
      </c>
      <c r="E16">
        <v>9010538</v>
      </c>
      <c r="F16">
        <v>8673658</v>
      </c>
    </row>
    <row r="19" spans="1:6" x14ac:dyDescent="0.2">
      <c r="A19" t="s">
        <v>32</v>
      </c>
    </row>
    <row r="20" spans="1:6" x14ac:dyDescent="0.2">
      <c r="A20" t="s">
        <v>279</v>
      </c>
      <c r="B20" t="s">
        <v>280</v>
      </c>
      <c r="C20" t="s">
        <v>281</v>
      </c>
    </row>
    <row r="21" spans="1:6" x14ac:dyDescent="0.2">
      <c r="A21" s="3">
        <v>-0.2</v>
      </c>
      <c r="B21">
        <v>1223706</v>
      </c>
      <c r="C21" s="3">
        <v>36767666</v>
      </c>
      <c r="D21" s="3"/>
      <c r="E21" s="3"/>
      <c r="F21" s="3"/>
    </row>
    <row r="22" spans="1:6" x14ac:dyDescent="0.2">
      <c r="A22" s="3">
        <v>-0.1</v>
      </c>
      <c r="B22">
        <v>1376670</v>
      </c>
      <c r="C22">
        <v>41363625</v>
      </c>
    </row>
    <row r="23" spans="1:6" x14ac:dyDescent="0.2">
      <c r="A23" t="s">
        <v>278</v>
      </c>
      <c r="B23">
        <v>1529633</v>
      </c>
      <c r="C23">
        <v>45959583</v>
      </c>
    </row>
    <row r="24" spans="1:6" x14ac:dyDescent="0.2">
      <c r="A24" s="3">
        <v>0.1</v>
      </c>
      <c r="B24">
        <v>1682596</v>
      </c>
      <c r="C24">
        <v>50555541</v>
      </c>
    </row>
    <row r="25" spans="1:6" x14ac:dyDescent="0.2">
      <c r="A25" s="3">
        <v>0.2</v>
      </c>
      <c r="B25">
        <v>1835559</v>
      </c>
      <c r="C25">
        <v>55151499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F2EA-CDDB-C84C-BB19-7751C58AB8F5}">
  <dimension ref="A1:H4"/>
  <sheetViews>
    <sheetView workbookViewId="0">
      <selection sqref="A1:H4"/>
    </sheetView>
  </sheetViews>
  <sheetFormatPr baseColWidth="10" defaultRowHeight="16" x14ac:dyDescent="0.2"/>
  <cols>
    <col min="1" max="1" width="11.6640625" customWidth="1"/>
    <col min="2" max="2" width="12.33203125" bestFit="1" customWidth="1"/>
    <col min="3" max="3" width="14.5" bestFit="1" customWidth="1"/>
    <col min="4" max="4" width="14.1640625" customWidth="1"/>
    <col min="5" max="5" width="13.83203125" bestFit="1" customWidth="1"/>
    <col min="6" max="6" width="15" bestFit="1" customWidth="1"/>
    <col min="7" max="7" width="13.1640625" bestFit="1" customWidth="1"/>
    <col min="8" max="8" width="8.5" bestFit="1" customWidth="1"/>
  </cols>
  <sheetData>
    <row r="1" spans="1:8" x14ac:dyDescent="0.2">
      <c r="A1" t="s">
        <v>6</v>
      </c>
      <c r="B1" t="s">
        <v>7</v>
      </c>
      <c r="C1" t="s">
        <v>8</v>
      </c>
      <c r="D1" t="s">
        <v>9</v>
      </c>
      <c r="E1" t="s">
        <v>10</v>
      </c>
      <c r="F1" t="s">
        <v>11</v>
      </c>
      <c r="G1" t="s">
        <v>12</v>
      </c>
      <c r="H1" t="s">
        <v>42</v>
      </c>
    </row>
    <row r="2" spans="1:8" x14ac:dyDescent="0.2">
      <c r="A2" t="s">
        <v>30</v>
      </c>
      <c r="B2" t="s">
        <v>282</v>
      </c>
      <c r="C2">
        <v>200000000</v>
      </c>
      <c r="D2">
        <v>-95809936</v>
      </c>
      <c r="E2" t="s">
        <v>283</v>
      </c>
      <c r="F2" t="s">
        <v>284</v>
      </c>
      <c r="G2" t="s">
        <v>285</v>
      </c>
      <c r="H2" t="s">
        <v>286</v>
      </c>
    </row>
    <row r="3" spans="1:8" x14ac:dyDescent="0.2">
      <c r="A3" t="s">
        <v>31</v>
      </c>
      <c r="B3" t="s">
        <v>287</v>
      </c>
      <c r="C3">
        <v>67500000</v>
      </c>
      <c r="D3">
        <v>-3568316</v>
      </c>
      <c r="E3" t="s">
        <v>288</v>
      </c>
      <c r="F3" t="s">
        <v>289</v>
      </c>
      <c r="G3" t="s">
        <v>290</v>
      </c>
      <c r="H3" t="s">
        <v>291</v>
      </c>
    </row>
    <row r="4" spans="1:8" x14ac:dyDescent="0.2">
      <c r="A4" t="s">
        <v>36</v>
      </c>
      <c r="B4" t="s">
        <v>292</v>
      </c>
      <c r="C4" t="s">
        <v>293</v>
      </c>
      <c r="D4" t="s">
        <v>294</v>
      </c>
      <c r="E4" t="s">
        <v>294</v>
      </c>
      <c r="F4" t="s">
        <v>295</v>
      </c>
      <c r="G4" t="s">
        <v>296</v>
      </c>
      <c r="H4" t="s">
        <v>297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AFFA-A7E4-6B4A-B7B3-6A038EB707E2}">
  <dimension ref="A2:B60"/>
  <sheetViews>
    <sheetView workbookViewId="0">
      <selection activeCell="A31" sqref="A31"/>
    </sheetView>
  </sheetViews>
  <sheetFormatPr baseColWidth="10" defaultRowHeight="16" x14ac:dyDescent="0.2"/>
  <cols>
    <col min="1" max="1" width="31.6640625" customWidth="1"/>
  </cols>
  <sheetData>
    <row r="2" spans="1:2" x14ac:dyDescent="0.2">
      <c r="A2" t="s">
        <v>43</v>
      </c>
    </row>
    <row r="3" spans="1:2" x14ac:dyDescent="0.2">
      <c r="A3" t="s">
        <v>44</v>
      </c>
    </row>
    <row r="4" spans="1:2" x14ac:dyDescent="0.2">
      <c r="A4" t="s">
        <v>15</v>
      </c>
      <c r="B4" t="s">
        <v>45</v>
      </c>
    </row>
    <row r="5" spans="1:2" x14ac:dyDescent="0.2">
      <c r="A5" t="s">
        <v>46</v>
      </c>
      <c r="B5" t="s">
        <v>47</v>
      </c>
    </row>
    <row r="6" spans="1:2" x14ac:dyDescent="0.2">
      <c r="A6" t="s">
        <v>16</v>
      </c>
      <c r="B6" t="s">
        <v>48</v>
      </c>
    </row>
    <row r="8" spans="1:2" x14ac:dyDescent="0.2">
      <c r="A8" t="s">
        <v>57</v>
      </c>
    </row>
    <row r="11" spans="1:2" x14ac:dyDescent="0.2">
      <c r="A11" s="12" t="s">
        <v>75</v>
      </c>
    </row>
    <row r="12" spans="1:2" x14ac:dyDescent="0.2">
      <c r="A12" t="s">
        <v>76</v>
      </c>
      <c r="B12" s="8" t="s">
        <v>77</v>
      </c>
    </row>
    <row r="13" spans="1:2" x14ac:dyDescent="0.2">
      <c r="A13" t="s">
        <v>78</v>
      </c>
      <c r="B13" s="8" t="s">
        <v>79</v>
      </c>
    </row>
    <row r="14" spans="1:2" x14ac:dyDescent="0.2">
      <c r="B14" s="8" t="s">
        <v>80</v>
      </c>
    </row>
    <row r="15" spans="1:2" x14ac:dyDescent="0.2">
      <c r="A15" t="s">
        <v>81</v>
      </c>
      <c r="B15" s="8" t="s">
        <v>82</v>
      </c>
    </row>
    <row r="16" spans="1:2" x14ac:dyDescent="0.2">
      <c r="A16" t="s">
        <v>83</v>
      </c>
      <c r="B16" s="8" t="s">
        <v>84</v>
      </c>
    </row>
    <row r="17" spans="1:2" x14ac:dyDescent="0.2">
      <c r="A17" t="s">
        <v>85</v>
      </c>
      <c r="B17" s="8" t="s">
        <v>86</v>
      </c>
    </row>
    <row r="18" spans="1:2" x14ac:dyDescent="0.2">
      <c r="A18" t="s">
        <v>87</v>
      </c>
      <c r="B18" s="8" t="s">
        <v>88</v>
      </c>
    </row>
    <row r="19" spans="1:2" x14ac:dyDescent="0.2">
      <c r="A19" t="s">
        <v>72</v>
      </c>
      <c r="B19" s="8" t="s">
        <v>89</v>
      </c>
    </row>
    <row r="20" spans="1:2" x14ac:dyDescent="0.2">
      <c r="A20" t="s">
        <v>91</v>
      </c>
      <c r="B20" s="8" t="s">
        <v>92</v>
      </c>
    </row>
    <row r="21" spans="1:2" x14ac:dyDescent="0.2">
      <c r="A21" t="s">
        <v>122</v>
      </c>
      <c r="B21" s="8" t="s">
        <v>123</v>
      </c>
    </row>
    <row r="22" spans="1:2" x14ac:dyDescent="0.2">
      <c r="A22" t="s">
        <v>124</v>
      </c>
      <c r="B22" s="8" t="s">
        <v>125</v>
      </c>
    </row>
    <row r="23" spans="1:2" x14ac:dyDescent="0.2">
      <c r="A23" t="s">
        <v>126</v>
      </c>
      <c r="B23" s="8" t="s">
        <v>127</v>
      </c>
    </row>
    <row r="24" spans="1:2" x14ac:dyDescent="0.2">
      <c r="A24" t="s">
        <v>128</v>
      </c>
      <c r="B24" s="8" t="s">
        <v>129</v>
      </c>
    </row>
    <row r="25" spans="1:2" x14ac:dyDescent="0.2">
      <c r="A25" t="s">
        <v>158</v>
      </c>
      <c r="B25" s="8" t="s">
        <v>159</v>
      </c>
    </row>
    <row r="26" spans="1:2" x14ac:dyDescent="0.2">
      <c r="A26" t="s">
        <v>160</v>
      </c>
      <c r="B26" s="8" t="s">
        <v>161</v>
      </c>
    </row>
    <row r="27" spans="1:2" x14ac:dyDescent="0.2">
      <c r="A27" t="s">
        <v>126</v>
      </c>
      <c r="B27" s="8" t="s">
        <v>127</v>
      </c>
    </row>
    <row r="28" spans="1:2" x14ac:dyDescent="0.2">
      <c r="A28" t="s">
        <v>162</v>
      </c>
      <c r="B28" s="8" t="s">
        <v>163</v>
      </c>
    </row>
    <row r="29" spans="1:2" x14ac:dyDescent="0.2">
      <c r="A29" t="s">
        <v>170</v>
      </c>
      <c r="B29" s="8" t="s">
        <v>171</v>
      </c>
    </row>
    <row r="30" spans="1:2" x14ac:dyDescent="0.2">
      <c r="A30" t="s">
        <v>172</v>
      </c>
      <c r="B30" s="8" t="s">
        <v>173</v>
      </c>
    </row>
    <row r="31" spans="1:2" x14ac:dyDescent="0.2">
      <c r="A31" t="s">
        <v>174</v>
      </c>
      <c r="B31" s="8" t="s">
        <v>175</v>
      </c>
    </row>
    <row r="32" spans="1:2" x14ac:dyDescent="0.2">
      <c r="A32" t="s">
        <v>176</v>
      </c>
      <c r="B32" s="8" t="s">
        <v>177</v>
      </c>
    </row>
    <row r="33" spans="1:2" x14ac:dyDescent="0.2">
      <c r="A33" t="s">
        <v>178</v>
      </c>
      <c r="B33" s="8" t="s">
        <v>179</v>
      </c>
    </row>
    <row r="34" spans="1:2" x14ac:dyDescent="0.2">
      <c r="A34" t="s">
        <v>204</v>
      </c>
      <c r="B34" s="8" t="s">
        <v>205</v>
      </c>
    </row>
    <row r="35" spans="1:2" x14ac:dyDescent="0.2">
      <c r="A35" t="s">
        <v>206</v>
      </c>
      <c r="B35" s="8" t="s">
        <v>207</v>
      </c>
    </row>
    <row r="36" spans="1:2" x14ac:dyDescent="0.2">
      <c r="A36" t="s">
        <v>220</v>
      </c>
      <c r="B36" s="8" t="s">
        <v>221</v>
      </c>
    </row>
    <row r="37" spans="1:2" x14ac:dyDescent="0.2">
      <c r="A37" t="s">
        <v>222</v>
      </c>
      <c r="B37" s="8" t="s">
        <v>223</v>
      </c>
    </row>
    <row r="38" spans="1:2" x14ac:dyDescent="0.2">
      <c r="A38" t="s">
        <v>224</v>
      </c>
      <c r="B38" s="8" t="s">
        <v>225</v>
      </c>
    </row>
    <row r="39" spans="1:2" x14ac:dyDescent="0.2">
      <c r="A39" t="s">
        <v>226</v>
      </c>
      <c r="B39" s="8" t="s">
        <v>227</v>
      </c>
    </row>
    <row r="40" spans="1:2" x14ac:dyDescent="0.2">
      <c r="A40" t="s">
        <v>228</v>
      </c>
      <c r="B40" s="8" t="s">
        <v>229</v>
      </c>
    </row>
    <row r="41" spans="1:2" x14ac:dyDescent="0.2">
      <c r="A41" t="s">
        <v>230</v>
      </c>
      <c r="B41" s="8" t="s">
        <v>231</v>
      </c>
    </row>
    <row r="42" spans="1:2" x14ac:dyDescent="0.2">
      <c r="A42" t="s">
        <v>307</v>
      </c>
      <c r="B42" s="8" t="s">
        <v>308</v>
      </c>
    </row>
    <row r="43" spans="1:2" x14ac:dyDescent="0.2">
      <c r="B43" s="8"/>
    </row>
    <row r="45" spans="1:2" x14ac:dyDescent="0.2">
      <c r="A45" t="s">
        <v>120</v>
      </c>
    </row>
    <row r="46" spans="1:2" x14ac:dyDescent="0.2">
      <c r="A46" t="s">
        <v>121</v>
      </c>
    </row>
    <row r="48" spans="1:2" x14ac:dyDescent="0.2">
      <c r="A48" t="s">
        <v>232</v>
      </c>
    </row>
    <row r="50" spans="1:2" x14ac:dyDescent="0.2">
      <c r="A50" t="s">
        <v>274</v>
      </c>
      <c r="B50" t="s">
        <v>275</v>
      </c>
    </row>
    <row r="52" spans="1:2" x14ac:dyDescent="0.2">
      <c r="A52" t="s">
        <v>298</v>
      </c>
      <c r="B52" t="s">
        <v>299</v>
      </c>
    </row>
    <row r="54" spans="1:2" x14ac:dyDescent="0.2">
      <c r="A54" t="s">
        <v>300</v>
      </c>
      <c r="B54" t="s">
        <v>301</v>
      </c>
    </row>
    <row r="56" spans="1:2" x14ac:dyDescent="0.2">
      <c r="A56" t="s">
        <v>153</v>
      </c>
      <c r="B56" t="s">
        <v>302</v>
      </c>
    </row>
    <row r="58" spans="1:2" x14ac:dyDescent="0.2">
      <c r="A58" t="s">
        <v>303</v>
      </c>
      <c r="B58" t="s">
        <v>304</v>
      </c>
    </row>
    <row r="60" spans="1:2" x14ac:dyDescent="0.2">
      <c r="A60" t="s">
        <v>305</v>
      </c>
      <c r="B60" t="s">
        <v>306</v>
      </c>
    </row>
  </sheetData>
  <hyperlinks>
    <hyperlink ref="B12" r:id="rId1" xr:uid="{4D7584FC-BD6A-974E-925C-1B071659B982}"/>
    <hyperlink ref="B13" r:id="rId2" xr:uid="{43961456-6445-1049-BE16-8A80FB116060}"/>
    <hyperlink ref="B14" r:id="rId3" xr:uid="{3CBEB432-06B7-7246-9DAF-1DFABCA0BFE0}"/>
    <hyperlink ref="B15" r:id="rId4" xr:uid="{F1AC5E6D-511C-5A45-B90E-065DC11B660A}"/>
    <hyperlink ref="B16" r:id="rId5" xr:uid="{1581DC08-B506-3943-9D51-5A9AEBEE9784}"/>
    <hyperlink ref="B17" r:id="rId6" xr:uid="{B2EBCA15-EEB4-0242-9D89-7E54E888174C}"/>
    <hyperlink ref="B18" r:id="rId7" xr:uid="{F048E1B3-2B92-3548-B912-144E241107E3}"/>
    <hyperlink ref="B19" r:id="rId8" xr:uid="{D9B22B9A-DD03-744E-8166-DE6211616389}"/>
    <hyperlink ref="B20" r:id="rId9" xr:uid="{7D6E4FC3-375B-DC48-9FE8-074B05A85E2C}"/>
    <hyperlink ref="B21" r:id="rId10" xr:uid="{81FB60C7-072E-A543-BE9A-01867CCD1C71}"/>
    <hyperlink ref="B22" r:id="rId11" xr:uid="{AD96386B-85BD-054A-9B1C-D8B2F3C59F6C}"/>
    <hyperlink ref="B23" r:id="rId12" xr:uid="{120A727E-65F8-524C-A06F-B7D8C1DCE3A4}"/>
    <hyperlink ref="B24" r:id="rId13" xr:uid="{77F08728-F302-B443-860C-8895A07CBDFE}"/>
    <hyperlink ref="B25" r:id="rId14" xr:uid="{D0365A75-6ED9-E24B-B1B9-39BD07B95D88}"/>
    <hyperlink ref="B26" r:id="rId15" xr:uid="{61496330-2666-1344-9F1F-45F5BFD00C94}"/>
    <hyperlink ref="B27" r:id="rId16" xr:uid="{7C818B5D-E2F6-2840-89F5-6B5F8494F9DD}"/>
    <hyperlink ref="B28" r:id="rId17" xr:uid="{A1B728EA-E39E-A946-A8F0-7D7A85775715}"/>
    <hyperlink ref="B29" r:id="rId18" xr:uid="{41286297-99C8-B244-952C-B2613C6B0A4E}"/>
    <hyperlink ref="B30" r:id="rId19" xr:uid="{0CC2D18F-C160-5E4D-93BB-DE073A3484D0}"/>
    <hyperlink ref="B31" r:id="rId20" xr:uid="{BE71D462-8704-8E43-8F52-D51BA1BCCD23}"/>
    <hyperlink ref="B32" r:id="rId21" xr:uid="{40E753D5-632F-FA4F-BAF7-AB23C5E4912B}"/>
    <hyperlink ref="B33" r:id="rId22" xr:uid="{768AE0AB-DA6C-B946-987D-27949F504E4E}"/>
    <hyperlink ref="B34" r:id="rId23" xr:uid="{E9E6641A-7F7B-9D40-95AB-4675618F711C}"/>
    <hyperlink ref="B35" r:id="rId24" xr:uid="{94D655E9-362F-2843-9CF3-F96029A80157}"/>
    <hyperlink ref="B36" r:id="rId25" xr:uid="{8DC7A165-8163-874C-AACC-1036B79B3B71}"/>
    <hyperlink ref="B37" r:id="rId26" xr:uid="{4E936081-8909-9149-B400-FC2B106366F6}"/>
    <hyperlink ref="B38" r:id="rId27" xr:uid="{C8FF3A3B-0136-4443-BCF8-8DC40E095FFF}"/>
    <hyperlink ref="B39" r:id="rId28" xr:uid="{92A5692E-602D-9347-BE20-53345A7DA2D1}"/>
    <hyperlink ref="B40" r:id="rId29" xr:uid="{F7EBFD2A-D5B0-F942-8D63-EA294DDAC4B7}"/>
    <hyperlink ref="B41" r:id="rId30" xr:uid="{82A80DD7-42F6-0D40-8858-F1D1BD1458CE}"/>
    <hyperlink ref="B42" r:id="rId31" xr:uid="{D89F2977-D811-304D-8587-94CCC8B18F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Assumptions</vt:lpstr>
      <vt:lpstr>Metrics</vt:lpstr>
      <vt:lpstr>nflx_5yr_monthly</vt:lpstr>
      <vt:lpstr>SP500_fred_5yr</vt:lpstr>
      <vt:lpstr>Red Notice</vt:lpstr>
      <vt:lpstr>Extraction</vt:lpstr>
      <vt:lpstr>Mario</vt:lpstr>
      <vt:lpstr>Sensitivity</vt:lpstr>
      <vt:lpstr>Go or No Go Summary</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Ariana Seymourian</dc:creator>
  <cp:lastModifiedBy>Ariana Seymourian</cp:lastModifiedBy>
  <dcterms:created xsi:type="dcterms:W3CDTF">2026-08-04T19:44:44Z</dcterms:created>
  <dcterms:modified xsi:type="dcterms:W3CDTF">2026-08-22T16:16:45Z</dcterms:modified>
</cp:coreProperties>
</file>